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2.xml" ContentType="application/vnd.ms-office.chart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AST" sheetId="3" r:id="rId1"/>
    <sheet name="Example analysis" sheetId="1" r:id="rId2"/>
  </sheets>
  <calcPr calcId="152511"/>
</workbook>
</file>

<file path=xl/calcChain.xml><?xml version="1.0" encoding="utf-8"?>
<calcChain xmlns="http://schemas.openxmlformats.org/spreadsheetml/2006/main">
  <c r="F23" i="3" l="1"/>
  <c r="F22" i="3"/>
  <c r="G22" i="3" s="1"/>
  <c r="F21" i="3"/>
  <c r="F20" i="3"/>
  <c r="G20" i="3" s="1"/>
  <c r="C12" i="3"/>
  <c r="D12" i="3" s="1"/>
  <c r="F12" i="3" s="1"/>
  <c r="G12" i="3" s="1"/>
  <c r="C11" i="3"/>
  <c r="D11" i="3" s="1"/>
  <c r="F11" i="3" s="1"/>
  <c r="G11" i="3" s="1"/>
  <c r="C10" i="3"/>
  <c r="C9" i="3"/>
  <c r="C8" i="3"/>
  <c r="D8" i="3" s="1"/>
  <c r="F8" i="3" s="1"/>
  <c r="D9" i="3" l="1"/>
  <c r="F9" i="3" s="1"/>
  <c r="G9" i="3" s="1"/>
  <c r="D10" i="3"/>
  <c r="F10" i="3" s="1"/>
  <c r="G10" i="3" s="1"/>
  <c r="D17" i="3"/>
  <c r="G8" i="3"/>
  <c r="B17" i="3" s="1"/>
  <c r="F17" i="3" l="1"/>
  <c r="J20" i="3" s="1"/>
  <c r="J22" i="3" l="1"/>
  <c r="F17" i="1" l="1"/>
  <c r="D17" i="1"/>
  <c r="B17" i="1"/>
  <c r="G9" i="1"/>
  <c r="G10" i="1"/>
  <c r="G11" i="1"/>
  <c r="G12" i="1"/>
  <c r="G8" i="1"/>
  <c r="F9" i="1"/>
  <c r="F10" i="1"/>
  <c r="F11" i="1"/>
  <c r="F12" i="1"/>
  <c r="F8" i="1"/>
  <c r="F23" i="1" l="1"/>
  <c r="F22" i="1"/>
  <c r="F21" i="1"/>
  <c r="F20" i="1"/>
  <c r="C12" i="1"/>
  <c r="C11" i="1"/>
  <c r="C10" i="1"/>
  <c r="C9" i="1"/>
  <c r="C8" i="1"/>
  <c r="D8" i="1" s="1"/>
  <c r="G20" i="1" l="1"/>
  <c r="J20" i="1" s="1"/>
  <c r="D11" i="1"/>
  <c r="G22" i="1"/>
  <c r="J22" i="1" s="1"/>
  <c r="D9" i="1"/>
  <c r="D12" i="1"/>
  <c r="D10" i="1"/>
</calcChain>
</file>

<file path=xl/sharedStrings.xml><?xml version="1.0" encoding="utf-8"?>
<sst xmlns="http://schemas.openxmlformats.org/spreadsheetml/2006/main" count="72" uniqueCount="32">
  <si>
    <t>Calculation</t>
    <phoneticPr fontId="2" type="noConversion"/>
  </si>
  <si>
    <t>1.Serum/plasma sample:</t>
    <phoneticPr fontId="2" type="noConversion"/>
  </si>
  <si>
    <t>Standard curve</t>
    <phoneticPr fontId="2" type="noConversion"/>
  </si>
  <si>
    <t>2.Tissue and cells sample:</t>
    <phoneticPr fontId="2" type="noConversion"/>
  </si>
  <si>
    <t>OD Value</t>
    <phoneticPr fontId="2" type="noConversion"/>
  </si>
  <si>
    <t>Average OD</t>
    <phoneticPr fontId="2" type="noConversion"/>
  </si>
  <si>
    <t>Absoluted OD</t>
    <phoneticPr fontId="2" type="noConversion"/>
  </si>
  <si>
    <t>Carmen unit</t>
    <phoneticPr fontId="2" type="noConversion"/>
  </si>
  <si>
    <r>
      <rPr>
        <b/>
        <sz val="11"/>
        <color theme="1"/>
        <rFont val="Times New Roman"/>
        <family val="1"/>
      </rPr>
      <t>[Note]</t>
    </r>
    <r>
      <rPr>
        <b/>
        <sz val="11"/>
        <color theme="1"/>
        <rFont val="宋体"/>
        <family val="3"/>
        <charset val="134"/>
      </rPr>
      <t>：</t>
    </r>
    <phoneticPr fontId="2" type="noConversion"/>
  </si>
  <si>
    <t>y: Carmen unit.</t>
    <phoneticPr fontId="2" type="noConversion"/>
  </si>
  <si>
    <r>
      <t>x: OD</t>
    </r>
    <r>
      <rPr>
        <vertAlign val="subscript"/>
        <sz val="11"/>
        <color theme="1"/>
        <rFont val="Times New Roman"/>
        <family val="1"/>
      </rPr>
      <t>Standard</t>
    </r>
    <r>
      <rPr>
        <sz val="11"/>
        <color theme="1"/>
        <rFont val="Times New Roman"/>
        <family val="1"/>
      </rPr>
      <t xml:space="preserve"> – OD</t>
    </r>
    <r>
      <rPr>
        <vertAlign val="subscript"/>
        <sz val="11"/>
        <color theme="1"/>
        <rFont val="Times New Roman"/>
        <family val="1"/>
      </rPr>
      <t>Blank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 xml:space="preserve"> OD</t>
    </r>
    <r>
      <rPr>
        <vertAlign val="subscript"/>
        <sz val="11"/>
        <color theme="1"/>
        <rFont val="Times New Roman"/>
        <family val="1"/>
      </rPr>
      <t xml:space="preserve">Blank </t>
    </r>
    <r>
      <rPr>
        <sz val="11"/>
        <color theme="1"/>
        <rFont val="Times New Roman"/>
        <family val="1"/>
      </rPr>
      <t>is the OD value when the carmen unit is 0</t>
    </r>
    <r>
      <rPr>
        <sz val="11"/>
        <color theme="1"/>
        <rFont val="宋体"/>
        <family val="3"/>
        <charset val="134"/>
      </rPr>
      <t>）</t>
    </r>
    <phoneticPr fontId="2" type="noConversion"/>
  </si>
  <si>
    <t>a, b, c: the constant of standard curve.</t>
    <phoneticPr fontId="2" type="noConversion"/>
  </si>
  <si>
    <t>f: Dilution factor of sample before tested.</t>
    <phoneticPr fontId="2" type="noConversion"/>
  </si>
  <si>
    <t>Cpr: Concentration of protein in sample (gprot/L)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</si>
  <si>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</si>
  <si>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</si>
  <si>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</si>
  <si>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r>
      <rPr>
        <sz val="11"/>
        <color theme="1"/>
        <rFont val="宋体"/>
        <family val="3"/>
        <charset val="134"/>
      </rPr>
      <t>△</t>
    </r>
    <r>
      <rPr>
        <sz val="11"/>
        <color theme="1"/>
        <rFont val="Times New Roman"/>
        <family val="1"/>
      </rPr>
      <t>A</t>
    </r>
    <r>
      <rPr>
        <vertAlign val="subscript"/>
        <sz val="11"/>
        <color theme="1"/>
        <rFont val="Times New Roman"/>
        <family val="1"/>
      </rPr>
      <t>510</t>
    </r>
    <phoneticPr fontId="2" type="noConversion"/>
  </si>
  <si>
    <t>f</t>
    <phoneticPr fontId="2" type="noConversion"/>
  </si>
  <si>
    <t>Cpr</t>
    <phoneticPr fontId="2" type="noConversion"/>
  </si>
  <si>
    <t>Serum (plasma) sample</t>
    <phoneticPr fontId="2" type="noConversion"/>
  </si>
  <si>
    <t>ODSample</t>
    <phoneticPr fontId="2" type="noConversion"/>
  </si>
  <si>
    <t>ODControl</t>
    <phoneticPr fontId="2" type="noConversion"/>
  </si>
  <si>
    <t>Tissue and cells sample</t>
    <phoneticPr fontId="2" type="noConversion"/>
  </si>
  <si>
    <r>
      <t>Plot the standard curve by using OD value of standard and correspondent Carmen unit (0, 24, 61, 114, 190 Carmen unit) as x-axis and y-axis respectively.The standard curve is y=ax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+bx+c</t>
    </r>
    <phoneticPr fontId="2" type="noConversion"/>
  </si>
  <si>
    <t>AST/GOT activity              (IU/L or IU/gprot)</t>
    <phoneticPr fontId="2" type="noConversion"/>
  </si>
  <si>
    <r>
      <rPr>
        <sz val="11"/>
        <color theme="1"/>
        <rFont val="宋体"/>
        <family val="3"/>
        <charset val="134"/>
      </rPr>
      <t>△</t>
    </r>
    <r>
      <rPr>
        <sz val="11"/>
        <color theme="1"/>
        <rFont val="Times New Roman"/>
        <family val="1"/>
      </rPr>
      <t>A</t>
    </r>
    <r>
      <rPr>
        <vertAlign val="subscript"/>
        <sz val="11"/>
        <color theme="1"/>
        <rFont val="Times New Roman"/>
        <family val="1"/>
      </rPr>
      <t>510</t>
    </r>
    <r>
      <rPr>
        <sz val="11"/>
        <color theme="1"/>
        <rFont val="Times New Roman"/>
        <family val="1"/>
      </rPr>
      <t>: OD</t>
    </r>
    <r>
      <rPr>
        <vertAlign val="subscript"/>
        <sz val="11"/>
        <color theme="1"/>
        <rFont val="Times New Roman"/>
        <family val="1"/>
      </rPr>
      <t>sample</t>
    </r>
    <r>
      <rPr>
        <sz val="11"/>
        <color theme="1"/>
        <rFont val="Times New Roman"/>
        <family val="1"/>
      </rPr>
      <t>-OD</t>
    </r>
    <r>
      <rPr>
        <vertAlign val="subscript"/>
        <sz val="11"/>
        <color theme="1"/>
        <rFont val="Times New Roman"/>
        <family val="1"/>
      </rPr>
      <t>control</t>
    </r>
    <phoneticPr fontId="2" type="noConversion"/>
  </si>
  <si>
    <t>x</t>
    <phoneticPr fontId="2" type="noConversion"/>
  </si>
  <si>
    <t>x2</t>
    <phoneticPr fontId="2" type="noConversion"/>
  </si>
  <si>
    <r>
      <t>AST/GOT activity (IU/gprot)=[a×(ΔA</t>
    </r>
    <r>
      <rPr>
        <vertAlign val="subscript"/>
        <sz val="11"/>
        <color theme="1"/>
        <rFont val="Times New Roman"/>
        <family val="1"/>
      </rPr>
      <t>510</t>
    </r>
    <r>
      <rPr>
        <sz val="11"/>
        <color theme="1"/>
        <rFont val="Times New Roman"/>
        <family val="1"/>
      </rPr>
      <t>)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+b×(ΔA</t>
    </r>
    <r>
      <rPr>
        <vertAlign val="subscript"/>
        <sz val="11"/>
        <color theme="1"/>
        <rFont val="Times New Roman"/>
        <family val="1"/>
      </rPr>
      <t>510</t>
    </r>
    <r>
      <rPr>
        <sz val="11"/>
        <color theme="1"/>
        <rFont val="Times New Roman"/>
        <family val="1"/>
      </rPr>
      <t xml:space="preserve">)+c]×0.482 IU/L×f÷Cpr
</t>
    </r>
    <phoneticPr fontId="2" type="noConversion"/>
  </si>
  <si>
    <r>
      <t>AST/GOT activity (IU/L) =[a × (ΔA</t>
    </r>
    <r>
      <rPr>
        <vertAlign val="subscript"/>
        <sz val="11"/>
        <color theme="1"/>
        <rFont val="Times New Roman"/>
        <family val="1"/>
      </rPr>
      <t>510</t>
    </r>
    <r>
      <rPr>
        <sz val="11"/>
        <color theme="1"/>
        <rFont val="Times New Roman"/>
        <family val="1"/>
      </rPr>
      <t>)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+ b×ΔA</t>
    </r>
    <r>
      <rPr>
        <vertAlign val="subscript"/>
        <sz val="11"/>
        <color theme="1"/>
        <rFont val="Times New Roman"/>
        <family val="1"/>
      </rPr>
      <t>510</t>
    </r>
    <r>
      <rPr>
        <sz val="11"/>
        <color theme="1"/>
        <rFont val="Times New Roman"/>
        <family val="1"/>
      </rPr>
      <t>+ c]×0.482 IU/L × f</t>
    </r>
    <phoneticPr fontId="2" type="noConversion"/>
  </si>
  <si>
    <t>EEA003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</si>
</sst>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"/>
  </numFmts>
  <fonts count="11" x14ac:knownFonts="1">
    <font>
      <sz val="11"/>
      <color theme="1"/>
      <name val="宋体"/>
      <family val="2"/>
      <scheme val="minor"/>
    </font>
    <font>
      <sz val="12"/>
      <color theme="1"/>
      <name val="Times New Roman"/>
      <family val="1"/>
    </font>
    <font>
      <sz val="9"/>
      <name val="宋体"/>
      <family val="3"/>
      <charset val="134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vertAlign val="superscript"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0" xfId="0" applyFont="1"/>
    <xf numFmtId="0" fontId="4" fillId="2" borderId="0" xfId="0" applyFont="1" applyFill="1" applyAlignment="1">
      <alignment vertical="center" wrapText="1"/>
    </xf>
    <xf numFmtId="0" fontId="4" fillId="3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>
      <alignment horizontal="left" vertical="center"/>
    </xf>
    <xf numFmtId="176" fontId="4" fillId="0" borderId="4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0" fontId="4" fillId="6" borderId="0" xfId="0" applyFont="1" applyFill="1"/>
    <xf numFmtId="0" fontId="4" fillId="2" borderId="5" xfId="0" applyFont="1" applyFill="1" applyBorder="1" applyAlignment="1">
      <alignment wrapText="1"/>
    </xf>
    <xf numFmtId="0" fontId="4" fillId="2" borderId="6" xfId="0" applyFont="1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vertical="center"/>
    </xf>
    <xf numFmtId="0" fontId="4" fillId="7" borderId="7" xfId="0" applyFont="1" applyFill="1" applyBorder="1" applyAlignment="1">
      <alignment horizontal="left" vertical="center"/>
    </xf>
    <xf numFmtId="176" fontId="4" fillId="0" borderId="8" xfId="0" applyNumberFormat="1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4" fillId="10" borderId="1" xfId="0" applyFont="1" applyFill="1" applyBorder="1" applyAlignment="1">
      <alignment vertical="center"/>
    </xf>
    <xf numFmtId="0" fontId="4" fillId="10" borderId="8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/>
    </xf>
    <xf numFmtId="176" fontId="4" fillId="0" borderId="1" xfId="0" applyNumberFormat="1" applyFont="1" applyFill="1" applyBorder="1" applyAlignment="1">
      <alignment horizontal="left"/>
    </xf>
    <xf numFmtId="0" fontId="4" fillId="10" borderId="1" xfId="0" applyFont="1" applyFill="1" applyBorder="1" applyAlignment="1"/>
    <xf numFmtId="0" fontId="4" fillId="10" borderId="1" xfId="0" applyFont="1" applyFill="1" applyBorder="1" applyAlignment="1">
      <alignment horizontal="left"/>
    </xf>
    <xf numFmtId="176" fontId="4" fillId="0" borderId="7" xfId="0" applyNumberFormat="1" applyFont="1" applyFill="1" applyBorder="1" applyAlignment="1">
      <alignment horizontal="left"/>
    </xf>
    <xf numFmtId="0" fontId="4" fillId="3" borderId="12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176" fontId="4" fillId="0" borderId="13" xfId="0" applyNumberFormat="1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176" fontId="4" fillId="0" borderId="0" xfId="0" applyNumberFormat="1" applyFont="1"/>
    <xf numFmtId="0" fontId="4" fillId="0" borderId="1" xfId="0" applyFont="1" applyBorder="1" applyAlignment="1"/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horizontal="left" vertical="center"/>
    </xf>
    <xf numFmtId="0" fontId="4" fillId="9" borderId="9" xfId="0" applyFont="1" applyFill="1" applyBorder="1" applyAlignment="1">
      <alignment horizontal="left" vertical="center"/>
    </xf>
    <xf numFmtId="176" fontId="10" fillId="0" borderId="7" xfId="0" applyNumberFormat="1" applyFont="1" applyBorder="1" applyAlignment="1">
      <alignment horizontal="left" vertical="center"/>
    </xf>
    <xf numFmtId="176" fontId="10" fillId="0" borderId="1" xfId="0" applyNumberFormat="1" applyFont="1" applyBorder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left" vertical="center"/>
    </xf>
    <xf numFmtId="0" fontId="4" fillId="11" borderId="11" xfId="0" applyFont="1" applyFill="1" applyBorder="1" applyAlignment="1">
      <alignment horizontal="left" vertical="center"/>
    </xf>
    <xf numFmtId="0" fontId="4" fillId="11" borderId="6" xfId="0" applyFont="1" applyFill="1" applyBorder="1" applyAlignment="1">
      <alignment horizontal="left" vertical="center"/>
    </xf>
    <xf numFmtId="176" fontId="10" fillId="0" borderId="12" xfId="0" applyNumberFormat="1" applyFont="1" applyBorder="1" applyAlignment="1">
      <alignment horizontal="left" vertical="center"/>
    </xf>
    <xf numFmtId="176" fontId="10" fillId="0" borderId="13" xfId="0" applyNumberFormat="1" applyFont="1" applyBorder="1" applyAlignment="1">
      <alignment horizontal="left" vertical="center"/>
    </xf>
    <xf numFmtId="176" fontId="10" fillId="0" borderId="14" xfId="0" applyNumberFormat="1" applyFont="1" applyBorder="1" applyAlignment="1">
      <alignment horizontal="left" vertical="center"/>
    </xf>
    <xf numFmtId="176" fontId="10" fillId="0" borderId="6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Standard Curve</a:t>
            </a:r>
            <a:endParaRPr lang="zh-CN" altLang="zh-CN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966058617672791"/>
                  <c:y val="6.8518518518518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AST!$D$8:$D$12</c:f>
              <c:numCache>
                <c:formatCode>0.000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AST!$E$8:$E$12</c:f>
              <c:numCache>
                <c:formatCode>General</c:formatCode>
                <c:ptCount val="5"/>
                <c:pt idx="0">
                  <c:v>0</c:v>
                </c:pt>
                <c:pt idx="1">
                  <c:v>24</c:v>
                </c:pt>
                <c:pt idx="2">
                  <c:v>61</c:v>
                </c:pt>
                <c:pt idx="3">
                  <c:v>114</c:v>
                </c:pt>
                <c:pt idx="4">
                  <c:v>190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975664"/>
        <c:axId val="717976448"/>
      </c:scatterChart>
      <c:valAx>
        <c:axId val="71797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7976448"/>
        <c:crosses val="autoZero"/>
        <c:crossBetween val="midCat"/>
      </c:valAx>
      <c:valAx>
        <c:axId val="71797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797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Standard Curve</a:t>
            </a:r>
            <a:endParaRPr lang="zh-CN" altLang="zh-CN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9938363954505687"/>
                  <c:y val="0.12089552238805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'Example analysis'!$D$8:$D$12</c:f>
              <c:numCache>
                <c:formatCode>0.000</c:formatCode>
                <c:ptCount val="5"/>
                <c:pt idx="0">
                  <c:v>0</c:v>
                </c:pt>
                <c:pt idx="1">
                  <c:v>8.3500000000000019E-2</c:v>
                </c:pt>
                <c:pt idx="2">
                  <c:v>0.14999999999999997</c:v>
                </c:pt>
                <c:pt idx="3">
                  <c:v>0.20600000000000002</c:v>
                </c:pt>
                <c:pt idx="4">
                  <c:v>0.26499999999999996</c:v>
                </c:pt>
              </c:numCache>
            </c:numRef>
          </c:xVal>
          <c:yVal>
            <c:numRef>
              <c:f>'Example analysis'!$E$8:$E$12</c:f>
              <c:numCache>
                <c:formatCode>General</c:formatCode>
                <c:ptCount val="5"/>
                <c:pt idx="0">
                  <c:v>0</c:v>
                </c:pt>
                <c:pt idx="1">
                  <c:v>24</c:v>
                </c:pt>
                <c:pt idx="2">
                  <c:v>61</c:v>
                </c:pt>
                <c:pt idx="3">
                  <c:v>114</c:v>
                </c:pt>
                <c:pt idx="4">
                  <c:v>190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977624"/>
        <c:axId val="981952872"/>
      </c:scatterChart>
      <c:valAx>
        <c:axId val="717977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1952872"/>
        <c:crosses val="autoZero"/>
        <c:crossBetween val="midCat"/>
      </c:valAx>
      <c:valAx>
        <c:axId val="981952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7977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3</xdr:row>
      <xdr:rowOff>52387</xdr:rowOff>
    </xdr:from>
    <xdr:to>
      <xdr:col>12</xdr:col>
      <xdr:colOff>114300</xdr:colOff>
      <xdr:row>15</xdr:row>
      <xdr:rowOff>185737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3</xdr:row>
      <xdr:rowOff>119062</xdr:rowOff>
    </xdr:from>
    <xdr:to>
      <xdr:col>11</xdr:col>
      <xdr:colOff>647700</xdr:colOff>
      <xdr:row>15</xdr:row>
      <xdr:rowOff>61912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workbookViewId="0">
      <selection sqref="A1:K3"/>
    </sheetView>
  </sheetViews>
  <sheetFormatPr defaultRowHeight="13.5" x14ac:dyDescent="0.15"/>
  <cols>
    <col min="5" max="5" width="9.875" customWidth="1"/>
  </cols>
  <sheetData>
    <row r="1" spans="1:23" ht="15.75" x14ac:dyDescent="0.15">
      <c r="A1" s="38" t="s">
        <v>31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1"/>
    </row>
    <row r="2" spans="1:23" ht="15.75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1"/>
      <c r="N2" s="39" t="s">
        <v>0</v>
      </c>
      <c r="O2" s="40"/>
      <c r="P2" s="40"/>
      <c r="Q2" s="40"/>
      <c r="R2" s="40"/>
      <c r="S2" s="40"/>
      <c r="T2" s="40"/>
      <c r="U2" s="40"/>
      <c r="V2" s="40"/>
      <c r="W2" s="40"/>
    </row>
    <row r="3" spans="1:23" ht="15.75" x14ac:dyDescent="0.1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1"/>
      <c r="N3" s="41" t="s">
        <v>1</v>
      </c>
      <c r="O3" s="42"/>
      <c r="P3" s="42"/>
      <c r="Q3" s="42"/>
      <c r="R3" s="42"/>
      <c r="S3" s="42"/>
      <c r="T3" s="42"/>
      <c r="U3" s="42"/>
      <c r="V3" s="42"/>
      <c r="W3" s="43"/>
    </row>
    <row r="4" spans="1:23" ht="18.7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N4" s="44" t="s">
        <v>30</v>
      </c>
      <c r="O4" s="44"/>
      <c r="P4" s="44"/>
      <c r="Q4" s="44"/>
      <c r="R4" s="44"/>
      <c r="S4" s="44"/>
      <c r="T4" s="44"/>
      <c r="U4" s="44"/>
      <c r="V4" s="44"/>
      <c r="W4" s="44"/>
    </row>
    <row r="5" spans="1:23" ht="15" x14ac:dyDescent="0.25">
      <c r="A5" s="45" t="s">
        <v>2</v>
      </c>
      <c r="B5" s="45"/>
      <c r="C5" s="45"/>
      <c r="D5" s="45"/>
      <c r="E5" s="45"/>
      <c r="F5" s="2"/>
      <c r="G5" s="2"/>
      <c r="H5" s="2"/>
      <c r="I5" s="2"/>
      <c r="J5" s="2"/>
      <c r="K5" s="2"/>
      <c r="L5" s="2"/>
      <c r="N5" s="41" t="s">
        <v>3</v>
      </c>
      <c r="O5" s="42"/>
      <c r="P5" s="42"/>
      <c r="Q5" s="42"/>
      <c r="R5" s="42"/>
      <c r="S5" s="42"/>
      <c r="T5" s="42"/>
      <c r="U5" s="42"/>
      <c r="V5" s="42"/>
      <c r="W5" s="43"/>
    </row>
    <row r="6" spans="1:23" ht="18.75" customHeight="1" x14ac:dyDescent="0.25">
      <c r="A6" s="45"/>
      <c r="B6" s="45"/>
      <c r="C6" s="45"/>
      <c r="D6" s="45"/>
      <c r="E6" s="45"/>
      <c r="F6" s="2"/>
      <c r="G6" s="2"/>
      <c r="H6" s="2"/>
      <c r="I6" s="2"/>
      <c r="J6" s="2"/>
      <c r="K6" s="2"/>
      <c r="L6" s="2"/>
      <c r="N6" s="46" t="s">
        <v>29</v>
      </c>
      <c r="O6" s="47"/>
      <c r="P6" s="47"/>
      <c r="Q6" s="47"/>
      <c r="R6" s="47"/>
      <c r="S6" s="47"/>
      <c r="T6" s="47"/>
      <c r="U6" s="47"/>
      <c r="V6" s="47"/>
      <c r="W6" s="48"/>
    </row>
    <row r="7" spans="1:23" ht="30" x14ac:dyDescent="0.25">
      <c r="A7" s="49" t="s">
        <v>4</v>
      </c>
      <c r="B7" s="49"/>
      <c r="C7" s="3" t="s">
        <v>5</v>
      </c>
      <c r="D7" s="3" t="s">
        <v>6</v>
      </c>
      <c r="E7" s="3" t="s">
        <v>7</v>
      </c>
      <c r="F7" s="2" t="s">
        <v>27</v>
      </c>
      <c r="G7" s="2" t="s">
        <v>28</v>
      </c>
      <c r="H7" s="2"/>
      <c r="I7" s="2"/>
      <c r="J7" s="2"/>
      <c r="K7" s="2"/>
      <c r="L7" s="2"/>
      <c r="N7" s="50" t="s">
        <v>8</v>
      </c>
      <c r="O7" s="51"/>
      <c r="P7" s="51"/>
      <c r="Q7" s="51"/>
      <c r="R7" s="51"/>
      <c r="S7" s="51"/>
      <c r="T7" s="51"/>
      <c r="U7" s="51"/>
      <c r="V7" s="51"/>
      <c r="W7" s="51"/>
    </row>
    <row r="8" spans="1:23" ht="15" x14ac:dyDescent="0.25">
      <c r="A8" s="4"/>
      <c r="B8" s="5"/>
      <c r="C8" s="23" t="e">
        <f>AVERAGE(A8:B8)</f>
        <v>#DIV/0!</v>
      </c>
      <c r="D8" s="7" t="e">
        <f>C8-$C$8</f>
        <v>#DIV/0!</v>
      </c>
      <c r="E8" s="8">
        <v>0</v>
      </c>
      <c r="F8" s="36" t="e">
        <f>D8</f>
        <v>#DIV/0!</v>
      </c>
      <c r="G8" s="36" t="e">
        <f>F8^2</f>
        <v>#DIV/0!</v>
      </c>
      <c r="H8" s="2"/>
      <c r="I8" s="2"/>
      <c r="J8" s="2"/>
      <c r="K8" s="2"/>
      <c r="L8" s="2"/>
      <c r="N8" s="37" t="s">
        <v>9</v>
      </c>
      <c r="O8" s="37"/>
      <c r="P8" s="37"/>
      <c r="Q8" s="37"/>
      <c r="R8" s="37"/>
      <c r="S8" s="37"/>
      <c r="T8" s="37"/>
      <c r="U8" s="37"/>
      <c r="V8" s="37"/>
      <c r="W8" s="37"/>
    </row>
    <row r="9" spans="1:23" ht="16.5" x14ac:dyDescent="0.3">
      <c r="A9" s="4"/>
      <c r="B9" s="5"/>
      <c r="C9" s="23" t="e">
        <f t="shared" ref="C9:C12" si="0">AVERAGE(A9:B9)</f>
        <v>#DIV/0!</v>
      </c>
      <c r="D9" s="7" t="e">
        <f t="shared" ref="D9:D12" si="1">C9-$C$8</f>
        <v>#DIV/0!</v>
      </c>
      <c r="E9" s="8">
        <v>24</v>
      </c>
      <c r="F9" s="36" t="e">
        <f t="shared" ref="F9:F12" si="2">D9</f>
        <v>#DIV/0!</v>
      </c>
      <c r="G9" s="36" t="e">
        <f t="shared" ref="G9:G12" si="3">F9^2</f>
        <v>#DIV/0!</v>
      </c>
      <c r="H9" s="2"/>
      <c r="I9" s="2"/>
      <c r="J9" s="2"/>
      <c r="K9" s="2"/>
      <c r="L9" s="2"/>
      <c r="N9" s="37" t="s">
        <v>10</v>
      </c>
      <c r="O9" s="37"/>
      <c r="P9" s="37"/>
      <c r="Q9" s="37"/>
      <c r="R9" s="37"/>
      <c r="S9" s="37"/>
      <c r="T9" s="37"/>
      <c r="U9" s="37"/>
      <c r="V9" s="37"/>
      <c r="W9" s="37"/>
    </row>
    <row r="10" spans="1:23" ht="15" x14ac:dyDescent="0.25">
      <c r="A10" s="4"/>
      <c r="B10" s="5"/>
      <c r="C10" s="23" t="e">
        <f t="shared" si="0"/>
        <v>#DIV/0!</v>
      </c>
      <c r="D10" s="7" t="e">
        <f t="shared" si="1"/>
        <v>#DIV/0!</v>
      </c>
      <c r="E10" s="8">
        <v>61</v>
      </c>
      <c r="F10" s="36" t="e">
        <f t="shared" si="2"/>
        <v>#DIV/0!</v>
      </c>
      <c r="G10" s="36" t="e">
        <f t="shared" si="3"/>
        <v>#DIV/0!</v>
      </c>
      <c r="H10" s="2"/>
      <c r="I10" s="2"/>
      <c r="J10" s="2"/>
      <c r="K10" s="2"/>
      <c r="L10" s="2"/>
      <c r="N10" s="37" t="s">
        <v>11</v>
      </c>
      <c r="O10" s="37"/>
      <c r="P10" s="37"/>
      <c r="Q10" s="37"/>
      <c r="R10" s="37"/>
      <c r="S10" s="37"/>
      <c r="T10" s="37"/>
      <c r="U10" s="37"/>
      <c r="V10" s="37"/>
      <c r="W10" s="37"/>
    </row>
    <row r="11" spans="1:23" ht="16.5" x14ac:dyDescent="0.3">
      <c r="A11" s="4"/>
      <c r="B11" s="5"/>
      <c r="C11" s="23" t="e">
        <f t="shared" si="0"/>
        <v>#DIV/0!</v>
      </c>
      <c r="D11" s="7" t="e">
        <f t="shared" si="1"/>
        <v>#DIV/0!</v>
      </c>
      <c r="E11" s="8">
        <v>114</v>
      </c>
      <c r="F11" s="36" t="e">
        <f t="shared" si="2"/>
        <v>#DIV/0!</v>
      </c>
      <c r="G11" s="36" t="e">
        <f t="shared" si="3"/>
        <v>#DIV/0!</v>
      </c>
      <c r="H11" s="2"/>
      <c r="I11" s="2"/>
      <c r="J11" s="2"/>
      <c r="K11" s="2"/>
      <c r="L11" s="2"/>
      <c r="N11" s="37" t="s">
        <v>26</v>
      </c>
      <c r="O11" s="37"/>
      <c r="P11" s="37"/>
      <c r="Q11" s="37"/>
      <c r="R11" s="37"/>
      <c r="S11" s="37"/>
      <c r="T11" s="37"/>
      <c r="U11" s="37"/>
      <c r="V11" s="37"/>
      <c r="W11" s="37"/>
    </row>
    <row r="12" spans="1:23" ht="15" x14ac:dyDescent="0.25">
      <c r="A12" s="32"/>
      <c r="B12" s="33"/>
      <c r="C12" s="22" t="e">
        <f t="shared" si="0"/>
        <v>#DIV/0!</v>
      </c>
      <c r="D12" s="34" t="e">
        <f t="shared" si="1"/>
        <v>#DIV/0!</v>
      </c>
      <c r="E12" s="35">
        <v>190</v>
      </c>
      <c r="F12" s="36" t="e">
        <f t="shared" si="2"/>
        <v>#DIV/0!</v>
      </c>
      <c r="G12" s="36" t="e">
        <f t="shared" si="3"/>
        <v>#DIV/0!</v>
      </c>
      <c r="H12" s="2"/>
      <c r="I12" s="2"/>
      <c r="J12" s="2"/>
      <c r="K12" s="2"/>
      <c r="L12" s="2"/>
      <c r="N12" s="37" t="s">
        <v>12</v>
      </c>
      <c r="O12" s="37"/>
      <c r="P12" s="37"/>
      <c r="Q12" s="37"/>
      <c r="R12" s="37"/>
      <c r="S12" s="37"/>
      <c r="T12" s="37"/>
      <c r="U12" s="37"/>
      <c r="V12" s="37"/>
      <c r="W12" s="37"/>
    </row>
    <row r="13" spans="1:23" ht="15" x14ac:dyDescent="0.25">
      <c r="A13" s="59" t="s">
        <v>24</v>
      </c>
      <c r="B13" s="59"/>
      <c r="C13" s="59"/>
      <c r="D13" s="59"/>
      <c r="E13" s="59"/>
      <c r="F13" s="2"/>
      <c r="G13" s="2"/>
      <c r="H13" s="2"/>
      <c r="I13" s="2"/>
      <c r="J13" s="2"/>
      <c r="K13" s="2"/>
      <c r="L13" s="2"/>
      <c r="N13" s="37" t="s">
        <v>13</v>
      </c>
      <c r="O13" s="37"/>
      <c r="P13" s="37"/>
      <c r="Q13" s="37"/>
      <c r="R13" s="37"/>
      <c r="S13" s="37"/>
      <c r="T13" s="37"/>
      <c r="U13" s="37"/>
      <c r="V13" s="37"/>
      <c r="W13" s="37"/>
    </row>
    <row r="14" spans="1:23" ht="15" x14ac:dyDescent="0.25">
      <c r="A14" s="59"/>
      <c r="B14" s="59"/>
      <c r="C14" s="59"/>
      <c r="D14" s="59"/>
      <c r="E14" s="59"/>
      <c r="F14" s="2"/>
      <c r="G14" s="2"/>
      <c r="H14" s="2"/>
      <c r="I14" s="2"/>
      <c r="J14" s="2"/>
      <c r="K14" s="2"/>
      <c r="L14" s="2"/>
    </row>
    <row r="15" spans="1:23" ht="15" x14ac:dyDescent="0.25">
      <c r="A15" s="59"/>
      <c r="B15" s="59"/>
      <c r="C15" s="59"/>
      <c r="D15" s="59"/>
      <c r="E15" s="59"/>
      <c r="F15" s="2"/>
      <c r="G15" s="2"/>
      <c r="H15" s="2"/>
      <c r="I15" s="2"/>
      <c r="J15" s="2"/>
      <c r="K15" s="2"/>
      <c r="L15" s="2"/>
    </row>
    <row r="16" spans="1:23" ht="15" x14ac:dyDescent="0.25">
      <c r="A16" s="59"/>
      <c r="B16" s="59"/>
      <c r="C16" s="59"/>
      <c r="D16" s="59"/>
      <c r="E16" s="59"/>
      <c r="F16" s="2"/>
      <c r="G16" s="2"/>
      <c r="H16" s="2"/>
      <c r="I16" s="2"/>
      <c r="J16" s="2"/>
      <c r="K16" s="2"/>
      <c r="L16" s="2"/>
    </row>
    <row r="17" spans="1:12" ht="15" x14ac:dyDescent="0.25">
      <c r="A17" s="9" t="s">
        <v>14</v>
      </c>
      <c r="B17" s="10" t="e">
        <f>INDEX(LINEST(E8:E12,F8:G12),1,1)</f>
        <v>#VALUE!</v>
      </c>
      <c r="C17" s="11" t="s">
        <v>15</v>
      </c>
      <c r="D17" s="11" t="e">
        <f>INDEX(LINEST(E8:E12,F8:G12),1,2)</f>
        <v>#VALUE!</v>
      </c>
      <c r="E17" s="12" t="s">
        <v>16</v>
      </c>
      <c r="F17" s="13" t="e">
        <f>INDEX(LINEST(E8:E12,F8:G12),1,3)</f>
        <v>#VALUE!</v>
      </c>
      <c r="G17" s="2"/>
      <c r="H17" s="2"/>
      <c r="I17" s="2"/>
      <c r="J17" s="2"/>
      <c r="K17" s="2"/>
      <c r="L17" s="2"/>
    </row>
    <row r="18" spans="1:12" ht="1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30" x14ac:dyDescent="0.25">
      <c r="A19" s="14"/>
      <c r="B19" s="15"/>
      <c r="C19" s="60" t="s">
        <v>4</v>
      </c>
      <c r="D19" s="60"/>
      <c r="E19" s="60"/>
      <c r="F19" s="16" t="s">
        <v>5</v>
      </c>
      <c r="G19" s="17" t="s">
        <v>17</v>
      </c>
      <c r="H19" s="17" t="s">
        <v>18</v>
      </c>
      <c r="I19" s="18" t="s">
        <v>19</v>
      </c>
      <c r="J19" s="60" t="s">
        <v>25</v>
      </c>
      <c r="K19" s="60"/>
      <c r="L19" s="19"/>
    </row>
    <row r="20" spans="1:12" ht="15" x14ac:dyDescent="0.15">
      <c r="A20" s="52" t="s">
        <v>20</v>
      </c>
      <c r="B20" s="20" t="s">
        <v>21</v>
      </c>
      <c r="C20" s="21"/>
      <c r="D20" s="21"/>
      <c r="E20" s="21"/>
      <c r="F20" s="22" t="e">
        <f>AVERAGE(C20:E20)</f>
        <v>#DIV/0!</v>
      </c>
      <c r="G20" s="53" t="e">
        <f>F20-F21</f>
        <v>#DIV/0!</v>
      </c>
      <c r="H20" s="54"/>
      <c r="I20" s="55"/>
      <c r="J20" s="57" t="e">
        <f>(B17*G20*G20+D17*G20+F17)*0.482*H20</f>
        <v>#VALUE!</v>
      </c>
      <c r="K20" s="57"/>
      <c r="L20" s="24"/>
    </row>
    <row r="21" spans="1:12" ht="15.75" thickBot="1" x14ac:dyDescent="0.2">
      <c r="A21" s="52"/>
      <c r="B21" s="25" t="s">
        <v>22</v>
      </c>
      <c r="C21" s="26"/>
      <c r="D21" s="26"/>
      <c r="E21" s="26"/>
      <c r="F21" s="23" t="e">
        <f>AVERAGE(C21:E21)</f>
        <v>#DIV/0!</v>
      </c>
      <c r="G21" s="53"/>
      <c r="H21" s="54"/>
      <c r="I21" s="56"/>
      <c r="J21" s="58"/>
      <c r="K21" s="58"/>
      <c r="L21" s="24"/>
    </row>
    <row r="22" spans="1:12" ht="15" x14ac:dyDescent="0.25">
      <c r="A22" s="52" t="s">
        <v>23</v>
      </c>
      <c r="B22" s="20" t="s">
        <v>21</v>
      </c>
      <c r="C22" s="27"/>
      <c r="D22" s="27"/>
      <c r="E22" s="27"/>
      <c r="F22" s="28" t="e">
        <f>AVERAGE(C22:E22)</f>
        <v>#DIV/0!</v>
      </c>
      <c r="G22" s="53" t="e">
        <f>F22-F23</f>
        <v>#DIV/0!</v>
      </c>
      <c r="H22" s="61"/>
      <c r="I22" s="63"/>
      <c r="J22" s="65" t="e">
        <f>(B17*G22*G22+D17*G22+F17)*0.482*H22/I22</f>
        <v>#VALUE!</v>
      </c>
      <c r="K22" s="66"/>
      <c r="L22" s="24"/>
    </row>
    <row r="23" spans="1:12" ht="15" x14ac:dyDescent="0.25">
      <c r="A23" s="52"/>
      <c r="B23" s="29" t="s">
        <v>22</v>
      </c>
      <c r="C23" s="30"/>
      <c r="D23" s="30"/>
      <c r="E23" s="30"/>
      <c r="F23" s="31" t="e">
        <f>AVERAGE(C23:E23)</f>
        <v>#DIV/0!</v>
      </c>
      <c r="G23" s="53"/>
      <c r="H23" s="62"/>
      <c r="I23" s="64"/>
      <c r="J23" s="67"/>
      <c r="K23" s="68"/>
      <c r="L23" s="24"/>
    </row>
  </sheetData>
  <mergeCells count="28">
    <mergeCell ref="A22:A23"/>
    <mergeCell ref="G22:G23"/>
    <mergeCell ref="H22:H23"/>
    <mergeCell ref="I22:I23"/>
    <mergeCell ref="J22:K23"/>
    <mergeCell ref="N12:W12"/>
    <mergeCell ref="A13:E16"/>
    <mergeCell ref="N13:W13"/>
    <mergeCell ref="C19:E19"/>
    <mergeCell ref="J19:K19"/>
    <mergeCell ref="A20:A21"/>
    <mergeCell ref="G20:G21"/>
    <mergeCell ref="H20:H21"/>
    <mergeCell ref="I20:I21"/>
    <mergeCell ref="J20:K21"/>
    <mergeCell ref="N11:W11"/>
    <mergeCell ref="A1:K3"/>
    <mergeCell ref="N2:W2"/>
    <mergeCell ref="N3:W3"/>
    <mergeCell ref="N4:W4"/>
    <mergeCell ref="A5:E6"/>
    <mergeCell ref="N5:W5"/>
    <mergeCell ref="N6:W6"/>
    <mergeCell ref="A7:B7"/>
    <mergeCell ref="N7:W7"/>
    <mergeCell ref="N8:W8"/>
    <mergeCell ref="N9:W9"/>
    <mergeCell ref="N10:W1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workbookViewId="0">
      <selection activeCell="P21" sqref="P21"/>
    </sheetView>
  </sheetViews>
  <sheetFormatPr defaultRowHeight="13.5" x14ac:dyDescent="0.15"/>
  <cols>
    <col min="5" max="5" width="9.875" customWidth="1"/>
  </cols>
  <sheetData>
    <row r="1" spans="1:23" ht="15.75" x14ac:dyDescent="0.15">
      <c r="A1" s="38" t="s">
        <v>31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1"/>
    </row>
    <row r="2" spans="1:23" ht="15.75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1"/>
      <c r="N2" s="39" t="s">
        <v>0</v>
      </c>
      <c r="O2" s="40"/>
      <c r="P2" s="40"/>
      <c r="Q2" s="40"/>
      <c r="R2" s="40"/>
      <c r="S2" s="40"/>
      <c r="T2" s="40"/>
      <c r="U2" s="40"/>
      <c r="V2" s="40"/>
      <c r="W2" s="40"/>
    </row>
    <row r="3" spans="1:23" ht="15.75" x14ac:dyDescent="0.1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1"/>
      <c r="N3" s="41" t="s">
        <v>1</v>
      </c>
      <c r="O3" s="42"/>
      <c r="P3" s="42"/>
      <c r="Q3" s="42"/>
      <c r="R3" s="42"/>
      <c r="S3" s="42"/>
      <c r="T3" s="42"/>
      <c r="U3" s="42"/>
      <c r="V3" s="42"/>
      <c r="W3" s="43"/>
    </row>
    <row r="4" spans="1:23" ht="18.7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N4" s="44" t="s">
        <v>30</v>
      </c>
      <c r="O4" s="44"/>
      <c r="P4" s="44"/>
      <c r="Q4" s="44"/>
      <c r="R4" s="44"/>
      <c r="S4" s="44"/>
      <c r="T4" s="44"/>
      <c r="U4" s="44"/>
      <c r="V4" s="44"/>
      <c r="W4" s="44"/>
    </row>
    <row r="5" spans="1:23" ht="15" x14ac:dyDescent="0.25">
      <c r="A5" s="45" t="s">
        <v>2</v>
      </c>
      <c r="B5" s="45"/>
      <c r="C5" s="45"/>
      <c r="D5" s="45"/>
      <c r="E5" s="45"/>
      <c r="F5" s="2"/>
      <c r="G5" s="2"/>
      <c r="H5" s="2"/>
      <c r="I5" s="2"/>
      <c r="J5" s="2"/>
      <c r="K5" s="2"/>
      <c r="L5" s="2"/>
      <c r="N5" s="41" t="s">
        <v>3</v>
      </c>
      <c r="O5" s="42"/>
      <c r="P5" s="42"/>
      <c r="Q5" s="42"/>
      <c r="R5" s="42"/>
      <c r="S5" s="42"/>
      <c r="T5" s="42"/>
      <c r="U5" s="42"/>
      <c r="V5" s="42"/>
      <c r="W5" s="43"/>
    </row>
    <row r="6" spans="1:23" ht="18.75" customHeight="1" x14ac:dyDescent="0.25">
      <c r="A6" s="45"/>
      <c r="B6" s="45"/>
      <c r="C6" s="45"/>
      <c r="D6" s="45"/>
      <c r="E6" s="45"/>
      <c r="F6" s="2"/>
      <c r="G6" s="2"/>
      <c r="H6" s="2"/>
      <c r="I6" s="2"/>
      <c r="J6" s="2"/>
      <c r="K6" s="2"/>
      <c r="L6" s="2"/>
      <c r="N6" s="46" t="s">
        <v>29</v>
      </c>
      <c r="O6" s="47"/>
      <c r="P6" s="47"/>
      <c r="Q6" s="47"/>
      <c r="R6" s="47"/>
      <c r="S6" s="47"/>
      <c r="T6" s="47"/>
      <c r="U6" s="47"/>
      <c r="V6" s="47"/>
      <c r="W6" s="48"/>
    </row>
    <row r="7" spans="1:23" ht="30" x14ac:dyDescent="0.25">
      <c r="A7" s="49" t="s">
        <v>4</v>
      </c>
      <c r="B7" s="49"/>
      <c r="C7" s="3" t="s">
        <v>5</v>
      </c>
      <c r="D7" s="3" t="s">
        <v>6</v>
      </c>
      <c r="E7" s="3" t="s">
        <v>7</v>
      </c>
      <c r="F7" s="2" t="s">
        <v>27</v>
      </c>
      <c r="G7" s="2" t="s">
        <v>28</v>
      </c>
      <c r="H7" s="2"/>
      <c r="I7" s="2"/>
      <c r="J7" s="2"/>
      <c r="K7" s="2"/>
      <c r="L7" s="2"/>
      <c r="N7" s="50" t="s">
        <v>8</v>
      </c>
      <c r="O7" s="51"/>
      <c r="P7" s="51"/>
      <c r="Q7" s="51"/>
      <c r="R7" s="51"/>
      <c r="S7" s="51"/>
      <c r="T7" s="51"/>
      <c r="U7" s="51"/>
      <c r="V7" s="51"/>
      <c r="W7" s="51"/>
    </row>
    <row r="8" spans="1:23" ht="15" x14ac:dyDescent="0.25">
      <c r="A8" s="4">
        <v>0.24399999999999999</v>
      </c>
      <c r="B8" s="5">
        <v>0.255</v>
      </c>
      <c r="C8" s="6">
        <f>AVERAGE(A8:B8)</f>
        <v>0.2495</v>
      </c>
      <c r="D8" s="7">
        <f>C8-$C$8</f>
        <v>0</v>
      </c>
      <c r="E8" s="8">
        <v>0</v>
      </c>
      <c r="F8" s="36">
        <f>D8</f>
        <v>0</v>
      </c>
      <c r="G8" s="36">
        <f>F8^2</f>
        <v>0</v>
      </c>
      <c r="H8" s="2"/>
      <c r="I8" s="2"/>
      <c r="J8" s="2"/>
      <c r="K8" s="2"/>
      <c r="L8" s="2"/>
      <c r="N8" s="37" t="s">
        <v>9</v>
      </c>
      <c r="O8" s="37"/>
      <c r="P8" s="37"/>
      <c r="Q8" s="37"/>
      <c r="R8" s="37"/>
      <c r="S8" s="37"/>
      <c r="T8" s="37"/>
      <c r="U8" s="37"/>
      <c r="V8" s="37"/>
      <c r="W8" s="37"/>
    </row>
    <row r="9" spans="1:23" ht="16.5" x14ac:dyDescent="0.3">
      <c r="A9" s="4">
        <v>0.33700000000000002</v>
      </c>
      <c r="B9" s="5">
        <v>0.32900000000000001</v>
      </c>
      <c r="C9" s="6">
        <f t="shared" ref="C9:C12" si="0">AVERAGE(A9:B9)</f>
        <v>0.33300000000000002</v>
      </c>
      <c r="D9" s="7">
        <f t="shared" ref="D9:D12" si="1">C9-$C$8</f>
        <v>8.3500000000000019E-2</v>
      </c>
      <c r="E9" s="8">
        <v>24</v>
      </c>
      <c r="F9" s="36">
        <f t="shared" ref="F9:F12" si="2">D9</f>
        <v>8.3500000000000019E-2</v>
      </c>
      <c r="G9" s="36">
        <f t="shared" ref="G9:G12" si="3">F9^2</f>
        <v>6.9722500000000028E-3</v>
      </c>
      <c r="H9" s="2"/>
      <c r="I9" s="2"/>
      <c r="J9" s="2"/>
      <c r="K9" s="2"/>
      <c r="L9" s="2"/>
      <c r="N9" s="37" t="s">
        <v>10</v>
      </c>
      <c r="O9" s="37"/>
      <c r="P9" s="37"/>
      <c r="Q9" s="37"/>
      <c r="R9" s="37"/>
      <c r="S9" s="37"/>
      <c r="T9" s="37"/>
      <c r="U9" s="37"/>
      <c r="V9" s="37"/>
      <c r="W9" s="37"/>
    </row>
    <row r="10" spans="1:23" ht="15" x14ac:dyDescent="0.25">
      <c r="A10" s="4">
        <v>0.38900000000000001</v>
      </c>
      <c r="B10" s="5">
        <v>0.41</v>
      </c>
      <c r="C10" s="6">
        <f t="shared" si="0"/>
        <v>0.39949999999999997</v>
      </c>
      <c r="D10" s="7">
        <f t="shared" si="1"/>
        <v>0.14999999999999997</v>
      </c>
      <c r="E10" s="8">
        <v>61</v>
      </c>
      <c r="F10" s="36">
        <f t="shared" si="2"/>
        <v>0.14999999999999997</v>
      </c>
      <c r="G10" s="36">
        <f t="shared" si="3"/>
        <v>2.2499999999999989E-2</v>
      </c>
      <c r="H10" s="2"/>
      <c r="I10" s="2"/>
      <c r="J10" s="2"/>
      <c r="K10" s="2"/>
      <c r="L10" s="2"/>
      <c r="N10" s="37" t="s">
        <v>11</v>
      </c>
      <c r="O10" s="37"/>
      <c r="P10" s="37"/>
      <c r="Q10" s="37"/>
      <c r="R10" s="37"/>
      <c r="S10" s="37"/>
      <c r="T10" s="37"/>
      <c r="U10" s="37"/>
      <c r="V10" s="37"/>
      <c r="W10" s="37"/>
    </row>
    <row r="11" spans="1:23" ht="16.5" x14ac:dyDescent="0.3">
      <c r="A11" s="4">
        <v>0.45200000000000001</v>
      </c>
      <c r="B11" s="5">
        <v>0.45900000000000002</v>
      </c>
      <c r="C11" s="6">
        <f t="shared" si="0"/>
        <v>0.45550000000000002</v>
      </c>
      <c r="D11" s="7">
        <f t="shared" si="1"/>
        <v>0.20600000000000002</v>
      </c>
      <c r="E11" s="8">
        <v>114</v>
      </c>
      <c r="F11" s="36">
        <f t="shared" si="2"/>
        <v>0.20600000000000002</v>
      </c>
      <c r="G11" s="36">
        <f t="shared" si="3"/>
        <v>4.2436000000000008E-2</v>
      </c>
      <c r="H11" s="2"/>
      <c r="I11" s="2"/>
      <c r="J11" s="2"/>
      <c r="K11" s="2"/>
      <c r="L11" s="2"/>
      <c r="N11" s="37" t="s">
        <v>26</v>
      </c>
      <c r="O11" s="37"/>
      <c r="P11" s="37"/>
      <c r="Q11" s="37"/>
      <c r="R11" s="37"/>
      <c r="S11" s="37"/>
      <c r="T11" s="37"/>
      <c r="U11" s="37"/>
      <c r="V11" s="37"/>
      <c r="W11" s="37"/>
    </row>
    <row r="12" spans="1:23" ht="15" x14ac:dyDescent="0.25">
      <c r="A12" s="32">
        <v>0.51</v>
      </c>
      <c r="B12" s="33">
        <v>0.51900000000000002</v>
      </c>
      <c r="C12" s="22">
        <f t="shared" si="0"/>
        <v>0.51449999999999996</v>
      </c>
      <c r="D12" s="34">
        <f t="shared" si="1"/>
        <v>0.26499999999999996</v>
      </c>
      <c r="E12" s="35">
        <v>190</v>
      </c>
      <c r="F12" s="36">
        <f t="shared" si="2"/>
        <v>0.26499999999999996</v>
      </c>
      <c r="G12" s="36">
        <f t="shared" si="3"/>
        <v>7.0224999999999982E-2</v>
      </c>
      <c r="H12" s="2"/>
      <c r="I12" s="2"/>
      <c r="J12" s="2"/>
      <c r="K12" s="2"/>
      <c r="L12" s="2"/>
      <c r="N12" s="37" t="s">
        <v>12</v>
      </c>
      <c r="O12" s="37"/>
      <c r="P12" s="37"/>
      <c r="Q12" s="37"/>
      <c r="R12" s="37"/>
      <c r="S12" s="37"/>
      <c r="T12" s="37"/>
      <c r="U12" s="37"/>
      <c r="V12" s="37"/>
      <c r="W12" s="37"/>
    </row>
    <row r="13" spans="1:23" ht="15" x14ac:dyDescent="0.25">
      <c r="A13" s="59" t="s">
        <v>24</v>
      </c>
      <c r="B13" s="59"/>
      <c r="C13" s="59"/>
      <c r="D13" s="59"/>
      <c r="E13" s="59"/>
      <c r="F13" s="2"/>
      <c r="G13" s="2"/>
      <c r="H13" s="2"/>
      <c r="I13" s="2"/>
      <c r="J13" s="2"/>
      <c r="K13" s="2"/>
      <c r="L13" s="2"/>
      <c r="N13" s="37" t="s">
        <v>13</v>
      </c>
      <c r="O13" s="37"/>
      <c r="P13" s="37"/>
      <c r="Q13" s="37"/>
      <c r="R13" s="37"/>
      <c r="S13" s="37"/>
      <c r="T13" s="37"/>
      <c r="U13" s="37"/>
      <c r="V13" s="37"/>
      <c r="W13" s="37"/>
    </row>
    <row r="14" spans="1:23" ht="15" x14ac:dyDescent="0.25">
      <c r="A14" s="59"/>
      <c r="B14" s="59"/>
      <c r="C14" s="59"/>
      <c r="D14" s="59"/>
      <c r="E14" s="59"/>
      <c r="F14" s="2"/>
      <c r="G14" s="2"/>
      <c r="H14" s="2"/>
      <c r="I14" s="2"/>
      <c r="J14" s="2"/>
      <c r="K14" s="2"/>
      <c r="L14" s="2"/>
    </row>
    <row r="15" spans="1:23" ht="15" x14ac:dyDescent="0.25">
      <c r="A15" s="59"/>
      <c r="B15" s="59"/>
      <c r="C15" s="59"/>
      <c r="D15" s="59"/>
      <c r="E15" s="59"/>
      <c r="F15" s="2"/>
      <c r="G15" s="2"/>
      <c r="H15" s="2"/>
      <c r="I15" s="2"/>
      <c r="J15" s="2"/>
      <c r="K15" s="2"/>
      <c r="L15" s="2"/>
    </row>
    <row r="16" spans="1:23" ht="15" x14ac:dyDescent="0.25">
      <c r="A16" s="59"/>
      <c r="B16" s="59"/>
      <c r="C16" s="59"/>
      <c r="D16" s="59"/>
      <c r="E16" s="59"/>
      <c r="F16" s="2"/>
      <c r="G16" s="2"/>
      <c r="H16" s="2"/>
      <c r="I16" s="2"/>
      <c r="J16" s="2"/>
      <c r="K16" s="2"/>
      <c r="L16" s="2"/>
    </row>
    <row r="17" spans="1:12" ht="15" x14ac:dyDescent="0.25">
      <c r="A17" s="9" t="s">
        <v>14</v>
      </c>
      <c r="B17" s="10">
        <f>INDEX(LINEST(E8:E12,F8:G12),1,1)</f>
        <v>2593.6236086853546</v>
      </c>
      <c r="C17" s="11" t="s">
        <v>15</v>
      </c>
      <c r="D17" s="11">
        <f>INDEX(LINEST(E8:E12,F8:G12),1,2)</f>
        <v>21.379253378560911</v>
      </c>
      <c r="E17" s="12" t="s">
        <v>16</v>
      </c>
      <c r="F17" s="13">
        <f>INDEX(LINEST(E8:E12,F8:G12),1,3)</f>
        <v>1.0596326431252407</v>
      </c>
      <c r="G17" s="2"/>
      <c r="H17" s="2"/>
      <c r="I17" s="2"/>
      <c r="J17" s="2"/>
      <c r="K17" s="2"/>
      <c r="L17" s="2"/>
    </row>
    <row r="18" spans="1:12" ht="1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30" x14ac:dyDescent="0.25">
      <c r="A19" s="14"/>
      <c r="B19" s="15"/>
      <c r="C19" s="60" t="s">
        <v>4</v>
      </c>
      <c r="D19" s="60"/>
      <c r="E19" s="60"/>
      <c r="F19" s="16" t="s">
        <v>5</v>
      </c>
      <c r="G19" s="17" t="s">
        <v>17</v>
      </c>
      <c r="H19" s="17" t="s">
        <v>18</v>
      </c>
      <c r="I19" s="18" t="s">
        <v>19</v>
      </c>
      <c r="J19" s="60" t="s">
        <v>25</v>
      </c>
      <c r="K19" s="60"/>
      <c r="L19" s="19"/>
    </row>
    <row r="20" spans="1:12" ht="15" x14ac:dyDescent="0.15">
      <c r="A20" s="52" t="s">
        <v>20</v>
      </c>
      <c r="B20" s="20" t="s">
        <v>21</v>
      </c>
      <c r="C20" s="21">
        <v>0.25600000000000001</v>
      </c>
      <c r="D20" s="21">
        <v>0.25900000000000001</v>
      </c>
      <c r="E20" s="21">
        <v>0.25800000000000001</v>
      </c>
      <c r="F20" s="22">
        <f>AVERAGE(C20:E20)</f>
        <v>0.25766666666666665</v>
      </c>
      <c r="G20" s="53">
        <f>F20-F21</f>
        <v>2.1333333333333343E-2</v>
      </c>
      <c r="H20" s="54">
        <v>1</v>
      </c>
      <c r="I20" s="55"/>
      <c r="J20" s="57">
        <f>(B17*G20*G20+D17*G20+F17)*0.482*H20</f>
        <v>1.2995251666343659</v>
      </c>
      <c r="K20" s="57"/>
      <c r="L20" s="24"/>
    </row>
    <row r="21" spans="1:12" ht="15.75" thickBot="1" x14ac:dyDescent="0.2">
      <c r="A21" s="52"/>
      <c r="B21" s="25" t="s">
        <v>22</v>
      </c>
      <c r="C21" s="26">
        <v>0.23499999999999999</v>
      </c>
      <c r="D21" s="26">
        <v>0.23599999999999999</v>
      </c>
      <c r="E21" s="26">
        <v>0.23799999999999999</v>
      </c>
      <c r="F21" s="6">
        <f>AVERAGE(C21:E21)</f>
        <v>0.23633333333333331</v>
      </c>
      <c r="G21" s="53"/>
      <c r="H21" s="54"/>
      <c r="I21" s="56"/>
      <c r="J21" s="58"/>
      <c r="K21" s="58"/>
      <c r="L21" s="24"/>
    </row>
    <row r="22" spans="1:12" ht="15" x14ac:dyDescent="0.25">
      <c r="A22" s="52" t="s">
        <v>23</v>
      </c>
      <c r="B22" s="20" t="s">
        <v>21</v>
      </c>
      <c r="C22" s="27">
        <v>0.377</v>
      </c>
      <c r="D22" s="27">
        <v>0.38</v>
      </c>
      <c r="E22" s="27">
        <v>0.38200000000000001</v>
      </c>
      <c r="F22" s="28">
        <f>AVERAGE(C22:E22)</f>
        <v>0.37966666666666665</v>
      </c>
      <c r="G22" s="53">
        <f>F22-F23</f>
        <v>0.13166666666666665</v>
      </c>
      <c r="H22" s="61">
        <v>20</v>
      </c>
      <c r="I22" s="63">
        <v>14.1</v>
      </c>
      <c r="J22" s="65">
        <f>(B17*G22*G22+D17*G22+F17)*0.482*H22/I22</f>
        <v>33.389893476259061</v>
      </c>
      <c r="K22" s="66"/>
      <c r="L22" s="24"/>
    </row>
    <row r="23" spans="1:12" ht="15" x14ac:dyDescent="0.25">
      <c r="A23" s="52"/>
      <c r="B23" s="29" t="s">
        <v>22</v>
      </c>
      <c r="C23" s="30">
        <v>0.248</v>
      </c>
      <c r="D23" s="30">
        <v>0.249</v>
      </c>
      <c r="E23" s="30">
        <v>0.247</v>
      </c>
      <c r="F23" s="31">
        <f>AVERAGE(C23:E23)</f>
        <v>0.248</v>
      </c>
      <c r="G23" s="53"/>
      <c r="H23" s="62"/>
      <c r="I23" s="64"/>
      <c r="J23" s="67"/>
      <c r="K23" s="68"/>
      <c r="L23" s="24"/>
    </row>
  </sheetData>
  <mergeCells count="28">
    <mergeCell ref="A22:A23"/>
    <mergeCell ref="G22:G23"/>
    <mergeCell ref="H22:H23"/>
    <mergeCell ref="I22:I23"/>
    <mergeCell ref="J22:K23"/>
    <mergeCell ref="N12:W12"/>
    <mergeCell ref="N13:W13"/>
    <mergeCell ref="A13:E16"/>
    <mergeCell ref="C19:E19"/>
    <mergeCell ref="J19:K19"/>
    <mergeCell ref="A20:A21"/>
    <mergeCell ref="G20:G21"/>
    <mergeCell ref="H20:H21"/>
    <mergeCell ref="I20:I21"/>
    <mergeCell ref="J20:K21"/>
    <mergeCell ref="N11:W11"/>
    <mergeCell ref="A1:K3"/>
    <mergeCell ref="N2:W2"/>
    <mergeCell ref="N3:W3"/>
    <mergeCell ref="N4:W4"/>
    <mergeCell ref="A5:E6"/>
    <mergeCell ref="N5:W5"/>
    <mergeCell ref="N6:W6"/>
    <mergeCell ref="A7:B7"/>
    <mergeCell ref="N7:W7"/>
    <mergeCell ref="N8:W8"/>
    <mergeCell ref="N9:W9"/>
    <mergeCell ref="N10:W10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9EBC294555603E4DA293C2389DA9DDAF" ma:contentTypeVersion="5" ma:contentTypeDescription="新建文档。" ma:contentTypeScope="" ma:versionID="2d17cd5cdc6c42e5abba7b6149345179">
  <xsd:schema xmlns:xsd="http://www.w3.org/2001/XMLSchema" xmlns:xs="http://www.w3.org/2001/XMLSchema" xmlns:p="http://schemas.microsoft.com/office/2006/metadata/properties" xmlns:ns2="ce576e1c-9a92-4a0e-8446-d89470922fce" xmlns:ns3="cbf2210f-1759-4589-8834-8c588a8e1d04" targetNamespace="http://schemas.microsoft.com/office/2006/metadata/properties" ma:root="true" ma:fieldsID="da1de7b53261a666671159fe50c58d62" ns2:_="" ns3:_="">
    <xsd:import namespace="ce576e1c-9a92-4a0e-8446-d89470922fce"/>
    <xsd:import namespace="cbf2210f-1759-4589-8834-8c588a8e1d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76e1c-9a92-4a0e-8446-d89470922f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2210f-1759-4589-8834-8c588a8e1d0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9DF1BE-B1B2-4607-AA5D-E2902BA940B2}"/>
</file>

<file path=customXml/itemProps2.xml><?xml version="1.0" encoding="utf-8"?>
<ds:datastoreItem xmlns:ds="http://schemas.openxmlformats.org/officeDocument/2006/customXml" ds:itemID="{0C0AB689-25B9-4FCB-A88B-3AD4EB2BEEDA}"/>
</file>

<file path=customXml/itemProps3.xml><?xml version="1.0" encoding="utf-8"?>
<ds:datastoreItem xmlns:ds="http://schemas.openxmlformats.org/officeDocument/2006/customXml" ds:itemID="{5DD32140-E750-4BC0-AD99-ADAF0A6701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AST</vt:lpstr>
      <vt:lpstr>Example 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2023-08-11T09:12:26Z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0x0101009EBC294555603E4DA293C2389DA9DDAF</vt:lpwstr>
  </property>
</Properties>
</file>