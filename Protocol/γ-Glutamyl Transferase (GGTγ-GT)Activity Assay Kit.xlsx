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04"/>
  <workbookPr filterPrivacy="1" defaultThemeVersion="124226"/>
  <xr:revisionPtr revIDLastSave="3" documentId="11_B0B5E06CB1C71AE964B502FF987EE210FBD30896" xr6:coauthVersionLast="47" xr6:coauthVersionMax="47" xr10:uidLastSave="{16C4080E-46F3-48B7-9858-B8CD68231912}"/>
  <bookViews>
    <workbookView xWindow="240" yWindow="105" windowWidth="14805" windowHeight="8010" firstSheet="1" activeTab="1" xr2:uid="{00000000-000D-0000-FFFF-FFFF00000000}"/>
  </bookViews>
  <sheets>
    <sheet name="γ-GT" sheetId="3" r:id="rId1"/>
    <sheet name="Example analysi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25" i="3"/>
  <c r="F24" i="3"/>
  <c r="F23" i="3"/>
  <c r="D15" i="3"/>
  <c r="D14" i="3"/>
  <c r="D13" i="3"/>
  <c r="D12" i="3"/>
  <c r="D11" i="3"/>
  <c r="D10" i="3"/>
  <c r="D9" i="3"/>
  <c r="D8" i="3"/>
  <c r="E14" i="3" s="1"/>
  <c r="E9" i="3" l="1"/>
  <c r="E10" i="3"/>
  <c r="E12" i="3"/>
  <c r="E13" i="3"/>
  <c r="E15" i="3"/>
  <c r="G23" i="3"/>
  <c r="G25" i="3"/>
  <c r="E8" i="3"/>
  <c r="E11" i="3"/>
  <c r="E20" i="3" l="1"/>
  <c r="C20" i="3"/>
  <c r="M23" i="3" l="1"/>
  <c r="M25" i="3"/>
  <c r="F26" i="2" l="1"/>
  <c r="F25" i="2"/>
  <c r="F24" i="2"/>
  <c r="F23" i="2"/>
  <c r="D15" i="2"/>
  <c r="D14" i="2"/>
  <c r="D13" i="2"/>
  <c r="D12" i="2"/>
  <c r="D11" i="2"/>
  <c r="D10" i="2"/>
  <c r="D9" i="2"/>
  <c r="D8" i="2"/>
  <c r="E8" i="2" s="1"/>
  <c r="G25" i="2" l="1"/>
  <c r="G23" i="2"/>
  <c r="E11" i="2"/>
  <c r="E9" i="2"/>
  <c r="E15" i="2"/>
  <c r="E10" i="2"/>
  <c r="E13" i="2"/>
  <c r="E12" i="2"/>
  <c r="E14" i="2"/>
  <c r="C20" i="2" l="1"/>
  <c r="E20" i="2"/>
  <c r="M23" i="2" l="1"/>
  <c r="M25" i="2"/>
</calcChain>
</file>

<file path=xl/sharedStrings.xml><?xml version="1.0" encoding="utf-8"?>
<sst xmlns="http://schemas.openxmlformats.org/spreadsheetml/2006/main" count="82" uniqueCount="41">
  <si>
    <t>EEA029</t>
    <phoneticPr fontId="2" type="noConversion"/>
  </si>
  <si>
    <t>Calculation</t>
    <phoneticPr fontId="2" type="noConversion"/>
  </si>
  <si>
    <t>1.Serum (plasma) and other liquid sample:</t>
    <phoneticPr fontId="2" type="noConversion"/>
  </si>
  <si>
    <r>
      <rPr>
        <b/>
        <sz val="11"/>
        <color theme="1"/>
        <rFont val="Times New Roman"/>
        <family val="1"/>
      </rPr>
      <t>Unit definition:</t>
    </r>
    <r>
      <rPr>
        <sz val="11"/>
        <color theme="1"/>
        <rFont val="Times New Roman"/>
        <family val="1"/>
      </rPr>
      <t xml:space="preserve"> The amount of 1 μmol of p-nitroaniline catalyzed by 1 L of sample per minute is defined as 1 unit.</t>
    </r>
    <phoneticPr fontId="2" type="noConversion"/>
  </si>
  <si>
    <t>Standard curve</t>
    <phoneticPr fontId="2" type="noConversion"/>
  </si>
  <si>
    <r>
      <t>γ-GT activity (U/L) =(</t>
    </r>
    <r>
      <rPr>
        <sz val="11"/>
        <color theme="1"/>
        <rFont val="宋体"/>
        <family val="3"/>
        <charset val="134"/>
      </rPr>
      <t>△</t>
    </r>
    <r>
      <rPr>
        <vertAlign val="subscript"/>
        <sz val="11"/>
        <color theme="1"/>
        <rFont val="Times New Roman"/>
        <family val="1"/>
      </rPr>
      <t>Asample</t>
    </r>
    <r>
      <rPr>
        <sz val="11"/>
        <color theme="1"/>
        <rFont val="Times New Roman"/>
        <family val="1"/>
      </rPr>
      <t xml:space="preserve"> - b ) ÷ a × V</t>
    </r>
    <r>
      <rPr>
        <vertAlign val="subscript"/>
        <sz val="11"/>
        <color theme="1"/>
        <rFont val="Times New Roman"/>
        <family val="1"/>
      </rPr>
      <t>reagent 2</t>
    </r>
    <r>
      <rPr>
        <sz val="11"/>
        <color theme="1"/>
        <rFont val="Times New Roman"/>
        <family val="1"/>
      </rPr>
      <t xml:space="preserve"> ÷ V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 xml:space="preserve"> ÷ T × f</t>
    </r>
    <phoneticPr fontId="2" type="noConversion"/>
  </si>
  <si>
    <t>Concentration     (μmol/L)</t>
    <phoneticPr fontId="2" type="noConversion"/>
  </si>
  <si>
    <t>OD Value</t>
    <phoneticPr fontId="2" type="noConversion"/>
  </si>
  <si>
    <t>Average OD</t>
    <phoneticPr fontId="2" type="noConversion"/>
  </si>
  <si>
    <t>Absoluted OD</t>
    <phoneticPr fontId="2" type="noConversion"/>
  </si>
  <si>
    <t>2. Tissue sample:</t>
    <phoneticPr fontId="2" type="noConversion"/>
  </si>
  <si>
    <r>
      <rPr>
        <b/>
        <sz val="11"/>
        <color theme="1"/>
        <rFont val="Times New Roman"/>
        <family val="1"/>
      </rPr>
      <t>Unit definition:</t>
    </r>
    <r>
      <rPr>
        <sz val="11"/>
        <color theme="1"/>
        <rFont val="Times New Roman"/>
        <family val="1"/>
      </rPr>
      <t xml:space="preserve"> The amount of 1 μmol of p-nitroaniline catalyzed by 1 g of protein per minute is defined as 1 unit.</t>
    </r>
    <phoneticPr fontId="2" type="noConversion"/>
  </si>
  <si>
    <r>
      <t>γ-GT activity (U/gprot) =(</t>
    </r>
    <r>
      <rPr>
        <sz val="11"/>
        <color theme="1"/>
        <rFont val="宋体"/>
        <family val="3"/>
        <charset val="134"/>
      </rPr>
      <t>△</t>
    </r>
    <r>
      <rPr>
        <vertAlign val="subscript"/>
        <sz val="11"/>
        <color theme="1"/>
        <rFont val="Times New Roman"/>
        <family val="1"/>
      </rPr>
      <t>Asample</t>
    </r>
    <r>
      <rPr>
        <sz val="11"/>
        <color theme="1"/>
        <rFont val="Times New Roman"/>
        <family val="1"/>
      </rPr>
      <t xml:space="preserve"> - b ) ÷ a × V</t>
    </r>
    <r>
      <rPr>
        <vertAlign val="subscript"/>
        <sz val="11"/>
        <color theme="1"/>
        <rFont val="Times New Roman"/>
        <family val="1"/>
      </rPr>
      <t>reagent 2</t>
    </r>
    <r>
      <rPr>
        <sz val="11"/>
        <color theme="1"/>
        <rFont val="Times New Roman"/>
        <family val="1"/>
      </rPr>
      <t xml:space="preserve"> ÷ V</t>
    </r>
    <r>
      <rPr>
        <vertAlign val="subscript"/>
        <sz val="11"/>
        <color theme="1"/>
        <rFont val="Times New Roman"/>
        <family val="1"/>
      </rPr>
      <t>sample</t>
    </r>
    <r>
      <rPr>
        <sz val="11"/>
        <color theme="1"/>
        <rFont val="Times New Roman"/>
        <family val="1"/>
      </rPr>
      <t xml:space="preserve"> ÷ C</t>
    </r>
    <r>
      <rPr>
        <vertAlign val="subscript"/>
        <sz val="11"/>
        <color theme="1"/>
        <rFont val="Times New Roman"/>
        <family val="1"/>
      </rPr>
      <t>pr</t>
    </r>
    <r>
      <rPr>
        <sz val="11"/>
        <color theme="1"/>
        <rFont val="Times New Roman"/>
        <family val="1"/>
      </rPr>
      <t>÷ T× f</t>
    </r>
    <phoneticPr fontId="2" type="noConversion"/>
  </si>
  <si>
    <r>
      <rPr>
        <b/>
        <sz val="11"/>
        <color theme="1"/>
        <rFont val="Times New Roman"/>
        <family val="1"/>
      </rPr>
      <t>[Note]</t>
    </r>
    <r>
      <rPr>
        <b/>
        <sz val="11"/>
        <color theme="1"/>
        <rFont val="宋体"/>
        <family val="3"/>
        <charset val="134"/>
      </rPr>
      <t>：</t>
    </r>
    <phoneticPr fontId="2" type="noConversion"/>
  </si>
  <si>
    <t xml:space="preserve">y: ODStandard – ODBlank. (ODBlank is the OD value when the standard concentration is 0). </t>
    <phoneticPr fontId="2" type="noConversion"/>
  </si>
  <si>
    <t>x: The concentration of standard;</t>
    <phoneticPr fontId="2" type="noConversion"/>
  </si>
  <si>
    <t xml:space="preserve">a: The slope of standard curve; </t>
    <phoneticPr fontId="2" type="noConversion"/>
  </si>
  <si>
    <t>b: The intercept of standard curve.</t>
    <phoneticPr fontId="2" type="noConversion"/>
  </si>
  <si>
    <t xml:space="preserve">Plot the standard curve by using OD value of standard and correspondent concentration as y-axis and x-axis respectively.The standard curve is: y= ax + b. </t>
    <phoneticPr fontId="2" type="noConversion"/>
  </si>
  <si>
    <t>f: Dilution factor of sample before tested.</t>
    <phoneticPr fontId="2" type="noConversion"/>
  </si>
  <si>
    <t xml:space="preserve">ΔAsample: A2 – A1. </t>
    <phoneticPr fontId="2" type="noConversion"/>
  </si>
  <si>
    <t>Vreagent 2: The volume of reagent 2 solution, 50 μL = 5.0 × 10-5 L. (Reaction working solution was mixed reagent 1 and reagent 2 solution at the ratio of 4:1)</t>
    <phoneticPr fontId="2" type="noConversion"/>
  </si>
  <si>
    <t>a:</t>
    <phoneticPr fontId="2" type="noConversion"/>
  </si>
  <si>
    <t>b:</t>
    <phoneticPr fontId="2" type="noConversion"/>
  </si>
  <si>
    <t xml:space="preserve">Cpr: The concentration of protein in sample, g/L. </t>
    <phoneticPr fontId="2" type="noConversion"/>
  </si>
  <si>
    <t>T: reaction time, 5 min.</t>
    <phoneticPr fontId="2" type="noConversion"/>
  </si>
  <si>
    <t>Average OD</t>
  </si>
  <si>
    <r>
      <t>ΔA</t>
    </r>
    <r>
      <rPr>
        <vertAlign val="subscript"/>
        <sz val="11"/>
        <color theme="1"/>
        <rFont val="Times New Roman"/>
        <family val="1"/>
      </rPr>
      <t>sample</t>
    </r>
    <phoneticPr fontId="2" type="noConversion"/>
  </si>
  <si>
    <t>T</t>
    <phoneticPr fontId="2" type="noConversion"/>
  </si>
  <si>
    <t xml:space="preserve">Vreagent 2/μL </t>
    <phoneticPr fontId="2" type="noConversion"/>
  </si>
  <si>
    <t xml:space="preserve">Vsample/μL </t>
    <phoneticPr fontId="2" type="noConversion"/>
  </si>
  <si>
    <t>f</t>
    <phoneticPr fontId="2" type="noConversion"/>
  </si>
  <si>
    <t>Cpr</t>
    <phoneticPr fontId="2" type="noConversion"/>
  </si>
  <si>
    <t>γ-GT activity                (U/L or U/gprot)</t>
    <phoneticPr fontId="2" type="noConversion"/>
  </si>
  <si>
    <t>Serum (plasma) sample</t>
    <phoneticPr fontId="2" type="noConversion"/>
  </si>
  <si>
    <t>A1</t>
    <phoneticPr fontId="2" type="noConversion"/>
  </si>
  <si>
    <t>A2</t>
    <phoneticPr fontId="2" type="noConversion"/>
  </si>
  <si>
    <t>Tissue and cells sample</t>
    <phoneticPr fontId="2" type="noConversion"/>
  </si>
  <si>
    <r>
      <rPr>
        <sz val="11"/>
        <color rgb="FF000000"/>
        <rFont val="Times New Roman"/>
      </rPr>
      <t>γ-GT activity (U/L) =(</t>
    </r>
    <r>
      <rPr>
        <sz val="11"/>
        <color rgb="FF000000"/>
        <rFont val="宋体"/>
      </rPr>
      <t>△</t>
    </r>
    <r>
      <rPr>
        <vertAlign val="subscript"/>
        <sz val="11"/>
        <color rgb="FF000000"/>
        <rFont val="Times New Roman"/>
      </rPr>
      <t>Asample</t>
    </r>
    <r>
      <rPr>
        <sz val="11"/>
        <color rgb="FF000000"/>
        <rFont val="Times New Roman"/>
      </rPr>
      <t xml:space="preserve"> - b ) ÷ a × V</t>
    </r>
    <r>
      <rPr>
        <vertAlign val="subscript"/>
        <sz val="11"/>
        <color rgb="FF000000"/>
        <rFont val="Times New Roman"/>
      </rPr>
      <t>substrate solution</t>
    </r>
    <r>
      <rPr>
        <sz val="11"/>
        <color rgb="FF000000"/>
        <rFont val="Times New Roman"/>
      </rPr>
      <t xml:space="preserve"> ÷ V</t>
    </r>
    <r>
      <rPr>
        <vertAlign val="subscript"/>
        <sz val="11"/>
        <color rgb="FF000000"/>
        <rFont val="Times New Roman"/>
      </rPr>
      <t>sample</t>
    </r>
    <r>
      <rPr>
        <sz val="11"/>
        <color rgb="FF000000"/>
        <rFont val="Times New Roman"/>
      </rPr>
      <t xml:space="preserve"> ÷ T × f</t>
    </r>
  </si>
  <si>
    <r>
      <rPr>
        <sz val="11"/>
        <color rgb="FF000000"/>
        <rFont val="Times New Roman"/>
      </rPr>
      <t>γ-GT activity (U/gprot) =(</t>
    </r>
    <r>
      <rPr>
        <sz val="11"/>
        <color rgb="FF000000"/>
        <rFont val="宋体"/>
      </rPr>
      <t>△</t>
    </r>
    <r>
      <rPr>
        <vertAlign val="subscript"/>
        <sz val="11"/>
        <color rgb="FF000000"/>
        <rFont val="Times New Roman"/>
      </rPr>
      <t>Asample</t>
    </r>
    <r>
      <rPr>
        <sz val="11"/>
        <color rgb="FF000000"/>
        <rFont val="Times New Roman"/>
      </rPr>
      <t xml:space="preserve"> - b ) ÷ a × V</t>
    </r>
    <r>
      <rPr>
        <vertAlign val="subscript"/>
        <sz val="11"/>
        <color rgb="FF000000"/>
        <rFont val="Times New Roman"/>
      </rPr>
      <t>substrate solution</t>
    </r>
    <r>
      <rPr>
        <sz val="11"/>
        <color rgb="FF000000"/>
        <rFont val="Times New Roman"/>
      </rPr>
      <t xml:space="preserve"> ÷ V</t>
    </r>
    <r>
      <rPr>
        <vertAlign val="subscript"/>
        <sz val="11"/>
        <color rgb="FF000000"/>
        <rFont val="Times New Roman"/>
      </rPr>
      <t>sample</t>
    </r>
    <r>
      <rPr>
        <sz val="11"/>
        <color rgb="FF000000"/>
        <rFont val="Times New Roman"/>
      </rPr>
      <t xml:space="preserve"> ÷ C</t>
    </r>
    <r>
      <rPr>
        <vertAlign val="subscript"/>
        <sz val="11"/>
        <color rgb="FF000000"/>
        <rFont val="Times New Roman"/>
      </rPr>
      <t>pr</t>
    </r>
    <r>
      <rPr>
        <sz val="11"/>
        <color rgb="FF000000"/>
        <rFont val="Times New Roman"/>
      </rPr>
      <t>÷ T× f</t>
    </r>
  </si>
  <si>
    <t>Vsubstrate solution: The volume of reagent 2 solution, 50 μL = 5.0 × 10-5 L. (Reaction working solution was mixed reagent 1 and reagent 2 solution at the ratio of 4:1)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</si>
</sst>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vertAlign val="subscript"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</font>
    <font>
      <sz val="11"/>
      <color rgb="FF000000"/>
      <name val="宋体"/>
    </font>
    <font>
      <vertAlign val="subscript"/>
      <sz val="11"/>
      <color rgb="FF000000"/>
      <name val="Times New Roman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6" borderId="10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left" vertical="center"/>
    </xf>
    <xf numFmtId="164" fontId="3" fillId="0" borderId="11" xfId="0" applyNumberFormat="1" applyFont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0" fontId="3" fillId="9" borderId="1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164" fontId="3" fillId="0" borderId="10" xfId="0" applyNumberFormat="1" applyFont="1" applyBorder="1" applyAlignment="1">
      <alignment horizontal="left"/>
    </xf>
    <xf numFmtId="164" fontId="3" fillId="0" borderId="4" xfId="0" applyNumberFormat="1" applyFont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164" fontId="10" fillId="3" borderId="17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/>
    </xf>
    <xf numFmtId="0" fontId="3" fillId="8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3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1" fontId="3" fillId="12" borderId="18" xfId="0" applyNumberFormat="1" applyFont="1" applyFill="1" applyBorder="1" applyAlignment="1">
      <alignment horizontal="center" vertical="center"/>
    </xf>
    <xf numFmtId="1" fontId="3" fillId="12" borderId="16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10" borderId="14" xfId="0" applyFont="1" applyFill="1" applyBorder="1" applyAlignment="1">
      <alignment horizontal="left" vertical="center"/>
    </xf>
    <xf numFmtId="0" fontId="3" fillId="10" borderId="8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864304461942257"/>
                  <c:y val="1.75925925925925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'γ-GT'!$A$8:$A$15</c:f>
              <c:numCache>
                <c:formatCode>General</c:formatCode>
                <c:ptCount val="8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'γ-GT'!$E$8:$E$15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57-462C-A25E-BD424D522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042512"/>
        <c:axId val="715042904"/>
      </c:scatterChart>
      <c:valAx>
        <c:axId val="71504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2904"/>
        <c:crosses val="autoZero"/>
        <c:crossBetween val="midCat"/>
      </c:valAx>
      <c:valAx>
        <c:axId val="71504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Standard Curve</a:t>
            </a:r>
            <a:endParaRPr lang="zh-CN" altLang="zh-CN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2588994636539996"/>
                  <c:y val="0.158473625140291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'Example analysis'!$A$8:$A$15</c:f>
              <c:numCache>
                <c:formatCode>General</c:formatCode>
                <c:ptCount val="8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'Example analysis'!$E$8:$E$15</c:f>
              <c:numCache>
                <c:formatCode>0.000</c:formatCode>
                <c:ptCount val="8"/>
                <c:pt idx="0">
                  <c:v>0</c:v>
                </c:pt>
                <c:pt idx="1">
                  <c:v>0.3755</c:v>
                </c:pt>
                <c:pt idx="2">
                  <c:v>0.74849999999999994</c:v>
                </c:pt>
                <c:pt idx="3">
                  <c:v>0.93049999999999988</c:v>
                </c:pt>
                <c:pt idx="4">
                  <c:v>1.117</c:v>
                </c:pt>
                <c:pt idx="5">
                  <c:v>1.4684999999999999</c:v>
                </c:pt>
                <c:pt idx="6">
                  <c:v>1.6379999999999999</c:v>
                </c:pt>
                <c:pt idx="7">
                  <c:v>1.8354999999999999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1E-42AB-8986-C955B33E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040552"/>
        <c:axId val="715040944"/>
      </c:scatterChart>
      <c:valAx>
        <c:axId val="715040552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0944"/>
        <c:crosses val="autoZero"/>
        <c:crossBetween val="midCat"/>
      </c:valAx>
      <c:valAx>
        <c:axId val="7150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040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4</xdr:row>
      <xdr:rowOff>109537</xdr:rowOff>
    </xdr:from>
    <xdr:to>
      <xdr:col>11</xdr:col>
      <xdr:colOff>619125</xdr:colOff>
      <xdr:row>17</xdr:row>
      <xdr:rowOff>80962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704851</xdr:colOff>
      <xdr:row>4</xdr:row>
      <xdr:rowOff>71437</xdr:rowOff>
    </xdr:from>
    <xdr:to>
      <xdr:col>11</xdr:col>
      <xdr:colOff>219075</xdr:colOff>
      <xdr:row>16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workbookViewId="0">
      <selection activeCell="O10" sqref="O10"/>
    </sheetView>
  </sheetViews>
  <sheetFormatPr defaultRowHeight="15"/>
  <cols>
    <col min="1" max="1" width="12.875" style="1" customWidth="1"/>
    <col min="2" max="4" width="9" style="1"/>
    <col min="5" max="5" width="9.875" style="1" customWidth="1"/>
    <col min="6" max="7" width="11.875" style="1" customWidth="1"/>
    <col min="8" max="8" width="9.875" style="1" customWidth="1"/>
    <col min="9" max="9" width="12.125" style="1" customWidth="1"/>
    <col min="10" max="10" width="9.875" style="1" customWidth="1"/>
    <col min="11" max="16384" width="9" style="1"/>
  </cols>
  <sheetData>
    <row r="1" spans="1: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25" ht="15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P2" s="36" t="s">
        <v>1</v>
      </c>
      <c r="Q2" s="37"/>
      <c r="R2" s="37"/>
      <c r="S2" s="37"/>
      <c r="T2" s="37"/>
      <c r="U2" s="37"/>
      <c r="V2" s="37"/>
      <c r="W2" s="37"/>
      <c r="X2" s="37"/>
      <c r="Y2" s="37"/>
    </row>
    <row r="3" spans="1: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P3" s="38" t="s">
        <v>2</v>
      </c>
      <c r="Q3" s="39"/>
      <c r="R3" s="39"/>
      <c r="S3" s="39"/>
      <c r="T3" s="39"/>
      <c r="U3" s="39"/>
      <c r="V3" s="39"/>
      <c r="W3" s="39"/>
      <c r="X3" s="39"/>
      <c r="Y3" s="40"/>
    </row>
    <row r="4" spans="1:25" ht="15" customHeight="1">
      <c r="P4" s="30" t="s">
        <v>3</v>
      </c>
      <c r="Q4" s="41"/>
      <c r="R4" s="41"/>
      <c r="S4" s="41"/>
      <c r="T4" s="41"/>
      <c r="U4" s="41"/>
      <c r="V4" s="41"/>
      <c r="W4" s="41"/>
      <c r="X4" s="41"/>
      <c r="Y4" s="42"/>
    </row>
    <row r="5" spans="1:25">
      <c r="A5" s="28" t="s">
        <v>4</v>
      </c>
      <c r="B5" s="28"/>
      <c r="C5" s="28"/>
      <c r="D5" s="28"/>
      <c r="E5" s="28"/>
      <c r="P5" s="43"/>
      <c r="Q5" s="44"/>
      <c r="R5" s="44"/>
      <c r="S5" s="44"/>
      <c r="T5" s="44"/>
      <c r="U5" s="44"/>
      <c r="V5" s="44"/>
      <c r="W5" s="44"/>
      <c r="X5" s="44"/>
      <c r="Y5" s="45"/>
    </row>
    <row r="6" spans="1:25" ht="16.5">
      <c r="A6" s="28"/>
      <c r="B6" s="28"/>
      <c r="C6" s="28"/>
      <c r="D6" s="28"/>
      <c r="E6" s="28"/>
      <c r="P6" s="46" t="s">
        <v>5</v>
      </c>
      <c r="Q6" s="46"/>
      <c r="R6" s="46"/>
      <c r="S6" s="46"/>
      <c r="T6" s="46"/>
      <c r="U6" s="46"/>
      <c r="V6" s="46"/>
      <c r="W6" s="46"/>
      <c r="X6" s="46"/>
      <c r="Y6" s="46"/>
    </row>
    <row r="7" spans="1:25" ht="30">
      <c r="A7" s="24" t="s">
        <v>6</v>
      </c>
      <c r="B7" s="27" t="s">
        <v>7</v>
      </c>
      <c r="C7" s="27"/>
      <c r="D7" s="2" t="s">
        <v>8</v>
      </c>
      <c r="E7" s="2" t="s">
        <v>9</v>
      </c>
      <c r="P7" s="47" t="s">
        <v>10</v>
      </c>
      <c r="Q7" s="48"/>
      <c r="R7" s="48"/>
      <c r="S7" s="48"/>
      <c r="T7" s="48"/>
      <c r="U7" s="48"/>
      <c r="V7" s="48"/>
      <c r="W7" s="48"/>
      <c r="X7" s="48"/>
      <c r="Y7" s="49"/>
    </row>
    <row r="8" spans="1:25" ht="15.75">
      <c r="A8" s="3">
        <v>0</v>
      </c>
      <c r="B8" s="25"/>
      <c r="C8" s="25"/>
      <c r="D8" s="23" t="e">
        <f>AVERAGE(B8:C8)</f>
        <v>#DIV/0!</v>
      </c>
      <c r="E8" s="18" t="e">
        <f>D8-$D$8</f>
        <v>#DIV/0!</v>
      </c>
      <c r="P8" s="30" t="s">
        <v>11</v>
      </c>
      <c r="Q8" s="30"/>
      <c r="R8" s="30"/>
      <c r="S8" s="30"/>
      <c r="T8" s="30"/>
      <c r="U8" s="30"/>
      <c r="V8" s="30"/>
      <c r="W8" s="30"/>
      <c r="X8" s="30"/>
      <c r="Y8" s="30"/>
    </row>
    <row r="9" spans="1:25" ht="15.75">
      <c r="A9" s="3">
        <v>200</v>
      </c>
      <c r="B9" s="25"/>
      <c r="C9" s="25"/>
      <c r="D9" s="23" t="e">
        <f t="shared" ref="D9:D15" si="0">AVERAGE(B9:C9)</f>
        <v>#DIV/0!</v>
      </c>
      <c r="E9" s="18" t="e">
        <f t="shared" ref="E9:E15" si="1">D9-$D$8</f>
        <v>#DIV/0!</v>
      </c>
      <c r="P9" s="30"/>
      <c r="Q9" s="30"/>
      <c r="R9" s="30"/>
      <c r="S9" s="30"/>
      <c r="T9" s="30"/>
      <c r="U9" s="30"/>
      <c r="V9" s="30"/>
      <c r="W9" s="30"/>
      <c r="X9" s="30"/>
      <c r="Y9" s="30"/>
    </row>
    <row r="10" spans="1:25" ht="16.5">
      <c r="A10" s="3">
        <v>400</v>
      </c>
      <c r="B10" s="25"/>
      <c r="C10" s="25"/>
      <c r="D10" s="23" t="e">
        <f t="shared" si="0"/>
        <v>#DIV/0!</v>
      </c>
      <c r="E10" s="18" t="e">
        <f t="shared" si="1"/>
        <v>#DIV/0!</v>
      </c>
      <c r="P10" s="50" t="s">
        <v>12</v>
      </c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15.75">
      <c r="A11" s="3">
        <v>500</v>
      </c>
      <c r="B11" s="25"/>
      <c r="C11" s="25"/>
      <c r="D11" s="23" t="e">
        <f t="shared" si="0"/>
        <v>#DIV/0!</v>
      </c>
      <c r="E11" s="18" t="e">
        <f t="shared" si="1"/>
        <v>#DIV/0!</v>
      </c>
      <c r="P11" s="64" t="s">
        <v>13</v>
      </c>
      <c r="Q11" s="65"/>
      <c r="R11" s="65"/>
      <c r="S11" s="65"/>
      <c r="T11" s="65"/>
      <c r="U11" s="65"/>
      <c r="V11" s="65"/>
      <c r="W11" s="65"/>
      <c r="X11" s="65"/>
      <c r="Y11" s="65"/>
    </row>
    <row r="12" spans="1:25" ht="15.75">
      <c r="A12" s="3">
        <v>600</v>
      </c>
      <c r="B12" s="25"/>
      <c r="C12" s="25"/>
      <c r="D12" s="23" t="e">
        <f t="shared" si="0"/>
        <v>#DIV/0!</v>
      </c>
      <c r="E12" s="18" t="e">
        <f t="shared" si="1"/>
        <v>#DIV/0!</v>
      </c>
      <c r="P12" s="65" t="s">
        <v>14</v>
      </c>
      <c r="Q12" s="65"/>
      <c r="R12" s="65"/>
      <c r="S12" s="65"/>
      <c r="T12" s="65"/>
      <c r="U12" s="65"/>
      <c r="V12" s="65"/>
      <c r="W12" s="65"/>
      <c r="X12" s="65"/>
      <c r="Y12" s="65"/>
    </row>
    <row r="13" spans="1:25" ht="15.75">
      <c r="A13" s="3">
        <v>800</v>
      </c>
      <c r="B13" s="25"/>
      <c r="C13" s="25"/>
      <c r="D13" s="23" t="e">
        <f t="shared" si="0"/>
        <v>#DIV/0!</v>
      </c>
      <c r="E13" s="18" t="e">
        <f t="shared" si="1"/>
        <v>#DIV/0!</v>
      </c>
      <c r="P13" s="65" t="s">
        <v>15</v>
      </c>
      <c r="Q13" s="65"/>
      <c r="R13" s="65"/>
      <c r="S13" s="65"/>
      <c r="T13" s="65"/>
      <c r="U13" s="65"/>
      <c r="V13" s="65"/>
      <c r="W13" s="65"/>
      <c r="X13" s="65"/>
      <c r="Y13" s="65"/>
    </row>
    <row r="14" spans="1:25" ht="15.75">
      <c r="A14" s="3">
        <v>900</v>
      </c>
      <c r="B14" s="25"/>
      <c r="C14" s="25"/>
      <c r="D14" s="23" t="e">
        <f t="shared" si="0"/>
        <v>#DIV/0!</v>
      </c>
      <c r="E14" s="18" t="e">
        <f t="shared" si="1"/>
        <v>#DIV/0!</v>
      </c>
      <c r="P14" s="65" t="s">
        <v>16</v>
      </c>
      <c r="Q14" s="65"/>
      <c r="R14" s="65"/>
      <c r="S14" s="65"/>
      <c r="T14" s="65"/>
      <c r="U14" s="65"/>
      <c r="V14" s="65"/>
      <c r="W14" s="65"/>
      <c r="X14" s="65"/>
      <c r="Y14" s="65"/>
    </row>
    <row r="15" spans="1:25" ht="15.75">
      <c r="A15" s="3">
        <v>1000</v>
      </c>
      <c r="B15" s="25"/>
      <c r="C15" s="25"/>
      <c r="D15" s="23" t="e">
        <f t="shared" si="0"/>
        <v>#DIV/0!</v>
      </c>
      <c r="E15" s="18" t="e">
        <f t="shared" si="1"/>
        <v>#DIV/0!</v>
      </c>
      <c r="P15" s="65" t="s">
        <v>17</v>
      </c>
      <c r="Q15" s="65"/>
      <c r="R15" s="65"/>
      <c r="S15" s="65"/>
      <c r="T15" s="65"/>
      <c r="U15" s="65"/>
      <c r="V15" s="65"/>
      <c r="W15" s="65"/>
      <c r="X15" s="65"/>
      <c r="Y15" s="65"/>
    </row>
    <row r="16" spans="1:25" ht="15" customHeight="1">
      <c r="A16" s="26" t="s">
        <v>18</v>
      </c>
      <c r="B16" s="26"/>
      <c r="C16" s="26"/>
      <c r="D16" s="26"/>
      <c r="E16" s="26"/>
      <c r="P16" s="65" t="s">
        <v>19</v>
      </c>
      <c r="Q16" s="65"/>
      <c r="R16" s="65"/>
      <c r="S16" s="65"/>
      <c r="T16" s="65"/>
      <c r="U16" s="65"/>
      <c r="V16" s="65"/>
      <c r="W16" s="65"/>
      <c r="X16" s="65"/>
      <c r="Y16" s="65"/>
    </row>
    <row r="17" spans="1:25">
      <c r="A17" s="26"/>
      <c r="B17" s="26"/>
      <c r="C17" s="26"/>
      <c r="D17" s="26"/>
      <c r="E17" s="26"/>
      <c r="P17" s="65" t="s">
        <v>20</v>
      </c>
      <c r="Q17" s="65"/>
      <c r="R17" s="65"/>
      <c r="S17" s="65"/>
      <c r="T17" s="65"/>
      <c r="U17" s="65"/>
      <c r="V17" s="65"/>
      <c r="W17" s="65"/>
      <c r="X17" s="65"/>
      <c r="Y17" s="65"/>
    </row>
    <row r="18" spans="1:25">
      <c r="A18" s="26"/>
      <c r="B18" s="26"/>
      <c r="C18" s="26"/>
      <c r="D18" s="26"/>
      <c r="E18" s="26"/>
      <c r="P18" s="30" t="s">
        <v>21</v>
      </c>
      <c r="Q18" s="30"/>
      <c r="R18" s="30"/>
      <c r="S18" s="30"/>
      <c r="T18" s="30"/>
      <c r="U18" s="30"/>
      <c r="V18" s="30"/>
      <c r="W18" s="30"/>
      <c r="X18" s="30"/>
      <c r="Y18" s="30"/>
    </row>
    <row r="19" spans="1:25" ht="15.75" thickBot="1">
      <c r="A19" s="26"/>
      <c r="B19" s="26"/>
      <c r="C19" s="26"/>
      <c r="D19" s="26"/>
      <c r="E19" s="26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spans="1:25" ht="15.75" thickBot="1">
      <c r="A20" s="4"/>
      <c r="B20" s="5" t="s">
        <v>22</v>
      </c>
      <c r="C20" s="6" t="e">
        <f>SLOPE(E8:E15,A8:A15)</f>
        <v>#DIV/0!</v>
      </c>
      <c r="D20" s="7" t="s">
        <v>23</v>
      </c>
      <c r="E20" s="8" t="e">
        <f>INTERCEPT(E8:E15,A8:A15)</f>
        <v>#DIV/0!</v>
      </c>
      <c r="P20" s="65" t="s">
        <v>24</v>
      </c>
      <c r="Q20" s="65"/>
      <c r="R20" s="65"/>
      <c r="S20" s="65"/>
      <c r="T20" s="65"/>
      <c r="U20" s="65"/>
      <c r="V20" s="65"/>
      <c r="W20" s="65"/>
      <c r="X20" s="65"/>
      <c r="Y20" s="65"/>
    </row>
    <row r="21" spans="1:25">
      <c r="P21" s="31" t="s">
        <v>25</v>
      </c>
      <c r="Q21" s="31"/>
      <c r="R21" s="31"/>
      <c r="S21" s="31"/>
      <c r="T21" s="31"/>
      <c r="U21" s="31"/>
      <c r="V21" s="31"/>
      <c r="W21" s="31"/>
      <c r="X21" s="31"/>
      <c r="Y21" s="31"/>
    </row>
    <row r="22" spans="1:25" ht="26.25" customHeight="1">
      <c r="A22" s="9"/>
      <c r="B22" s="10"/>
      <c r="C22" s="29" t="s">
        <v>7</v>
      </c>
      <c r="D22" s="29"/>
      <c r="E22" s="29"/>
      <c r="F22" s="11" t="s">
        <v>26</v>
      </c>
      <c r="G22" s="11" t="s">
        <v>27</v>
      </c>
      <c r="H22" s="11" t="s">
        <v>28</v>
      </c>
      <c r="I22" s="11" t="s">
        <v>29</v>
      </c>
      <c r="J22" s="11" t="s">
        <v>30</v>
      </c>
      <c r="K22" s="11" t="s">
        <v>31</v>
      </c>
      <c r="L22" s="11" t="s">
        <v>32</v>
      </c>
      <c r="M22" s="32" t="s">
        <v>33</v>
      </c>
      <c r="N22" s="32"/>
      <c r="O22" s="12"/>
    </row>
    <row r="23" spans="1:25">
      <c r="A23" s="30" t="s">
        <v>34</v>
      </c>
      <c r="B23" s="13" t="s">
        <v>35</v>
      </c>
      <c r="C23" s="14"/>
      <c r="D23" s="14"/>
      <c r="E23" s="14"/>
      <c r="F23" s="15" t="e">
        <f>AVERAGE(C23:E23)</f>
        <v>#DIV/0!</v>
      </c>
      <c r="G23" s="53" t="e">
        <f>F24-F23</f>
        <v>#DIV/0!</v>
      </c>
      <c r="H23" s="54"/>
      <c r="I23" s="55"/>
      <c r="J23" s="55"/>
      <c r="K23" s="61"/>
      <c r="L23" s="33"/>
      <c r="M23" s="51" t="e">
        <f>(G23-$E$20)/$C$20*I23/J23/H23*K23</f>
        <v>#DIV/0!</v>
      </c>
      <c r="N23" s="52"/>
    </row>
    <row r="24" spans="1:25" ht="15.75" thickBot="1">
      <c r="A24" s="30"/>
      <c r="B24" s="16" t="s">
        <v>36</v>
      </c>
      <c r="C24" s="17"/>
      <c r="D24" s="17"/>
      <c r="E24" s="17"/>
      <c r="F24" s="18" t="e">
        <f>AVERAGE(C24:E24)</f>
        <v>#DIV/0!</v>
      </c>
      <c r="G24" s="53"/>
      <c r="H24" s="54"/>
      <c r="I24" s="56"/>
      <c r="J24" s="56"/>
      <c r="K24" s="61"/>
      <c r="L24" s="34"/>
      <c r="M24" s="52"/>
      <c r="N24" s="52"/>
    </row>
    <row r="25" spans="1:25">
      <c r="A25" s="30" t="s">
        <v>37</v>
      </c>
      <c r="B25" s="13" t="s">
        <v>35</v>
      </c>
      <c r="C25" s="19"/>
      <c r="D25" s="19"/>
      <c r="E25" s="19"/>
      <c r="F25" s="20" t="e">
        <f>AVERAGE(C25:E25)</f>
        <v>#DIV/0!</v>
      </c>
      <c r="G25" s="53" t="e">
        <f>F26-F25</f>
        <v>#DIV/0!</v>
      </c>
      <c r="H25" s="54"/>
      <c r="I25" s="55"/>
      <c r="J25" s="55"/>
      <c r="K25" s="57"/>
      <c r="L25" s="59"/>
      <c r="M25" s="51" t="e">
        <f>(G25-$E$20)/$C$20*I25/J25/L25/H25*K25</f>
        <v>#DIV/0!</v>
      </c>
      <c r="N25" s="52"/>
    </row>
    <row r="26" spans="1:25">
      <c r="A26" s="30"/>
      <c r="B26" s="16" t="s">
        <v>36</v>
      </c>
      <c r="C26" s="21"/>
      <c r="D26" s="21"/>
      <c r="E26" s="21"/>
      <c r="F26" s="22" t="e">
        <f>AVERAGE(C26:E26)</f>
        <v>#DIV/0!</v>
      </c>
      <c r="G26" s="53"/>
      <c r="H26" s="54"/>
      <c r="I26" s="56"/>
      <c r="J26" s="56"/>
      <c r="K26" s="58"/>
      <c r="L26" s="60"/>
      <c r="M26" s="52"/>
      <c r="N26" s="52"/>
    </row>
  </sheetData>
  <mergeCells count="39">
    <mergeCell ref="K25:K26"/>
    <mergeCell ref="L25:L26"/>
    <mergeCell ref="M25:N26"/>
    <mergeCell ref="G23:G24"/>
    <mergeCell ref="H23:H24"/>
    <mergeCell ref="I23:I24"/>
    <mergeCell ref="J23:J24"/>
    <mergeCell ref="K23:K24"/>
    <mergeCell ref="A25:A26"/>
    <mergeCell ref="G25:G26"/>
    <mergeCell ref="H25:H26"/>
    <mergeCell ref="I25:I26"/>
    <mergeCell ref="J25:J26"/>
    <mergeCell ref="P7:Y7"/>
    <mergeCell ref="P8:Y9"/>
    <mergeCell ref="P10:Y10"/>
    <mergeCell ref="P11:Y11"/>
    <mergeCell ref="P12:Y12"/>
    <mergeCell ref="A1:N3"/>
    <mergeCell ref="P2:Y2"/>
    <mergeCell ref="P3:Y3"/>
    <mergeCell ref="P4:Y5"/>
    <mergeCell ref="P6:Y6"/>
    <mergeCell ref="P13:Y13"/>
    <mergeCell ref="P14:Y14"/>
    <mergeCell ref="P15:Y15"/>
    <mergeCell ref="P16:Y16"/>
    <mergeCell ref="P17:Y17"/>
    <mergeCell ref="P18:Y19"/>
    <mergeCell ref="P20:Y20"/>
    <mergeCell ref="P21:Y21"/>
    <mergeCell ref="M22:N22"/>
    <mergeCell ref="L23:L24"/>
    <mergeCell ref="M23:N24"/>
    <mergeCell ref="A16:E19"/>
    <mergeCell ref="B7:C7"/>
    <mergeCell ref="A5:E6"/>
    <mergeCell ref="C22:E22"/>
    <mergeCell ref="A23:A2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6"/>
  <sheetViews>
    <sheetView tabSelected="1" workbookViewId="0">
      <selection activeCell="M9" sqref="M9"/>
    </sheetView>
  </sheetViews>
  <sheetFormatPr defaultRowHeight="15"/>
  <cols>
    <col min="1" max="1" width="12.875" style="1" customWidth="1"/>
    <col min="2" max="4" width="9" style="1"/>
    <col min="5" max="5" width="9.875" style="1" customWidth="1"/>
    <col min="6" max="7" width="11.875" style="1" customWidth="1"/>
    <col min="8" max="8" width="9.875" style="1" customWidth="1"/>
    <col min="9" max="9" width="12.125" style="1" customWidth="1"/>
    <col min="10" max="10" width="9.875" style="1" customWidth="1"/>
    <col min="11" max="16384" width="9" style="1"/>
  </cols>
  <sheetData>
    <row r="1" spans="1:2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25" ht="15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P2" s="36" t="s">
        <v>1</v>
      </c>
      <c r="Q2" s="37"/>
      <c r="R2" s="37"/>
      <c r="S2" s="37"/>
      <c r="T2" s="37"/>
      <c r="U2" s="37"/>
      <c r="V2" s="37"/>
      <c r="W2" s="37"/>
      <c r="X2" s="37"/>
      <c r="Y2" s="37"/>
    </row>
    <row r="3" spans="1: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P3" s="38" t="s">
        <v>2</v>
      </c>
      <c r="Q3" s="39"/>
      <c r="R3" s="39"/>
      <c r="S3" s="39"/>
      <c r="T3" s="39"/>
      <c r="U3" s="39"/>
      <c r="V3" s="39"/>
      <c r="W3" s="39"/>
      <c r="X3" s="39"/>
      <c r="Y3" s="40"/>
    </row>
    <row r="4" spans="1:25" ht="15" customHeight="1">
      <c r="P4" s="30" t="s">
        <v>3</v>
      </c>
      <c r="Q4" s="41"/>
      <c r="R4" s="41"/>
      <c r="S4" s="41"/>
      <c r="T4" s="41"/>
      <c r="U4" s="41"/>
      <c r="V4" s="41"/>
      <c r="W4" s="41"/>
      <c r="X4" s="41"/>
      <c r="Y4" s="42"/>
    </row>
    <row r="5" spans="1:25">
      <c r="A5" s="28" t="s">
        <v>4</v>
      </c>
      <c r="B5" s="28"/>
      <c r="C5" s="28"/>
      <c r="D5" s="28"/>
      <c r="E5" s="28"/>
      <c r="P5" s="43"/>
      <c r="Q5" s="44"/>
      <c r="R5" s="44"/>
      <c r="S5" s="44"/>
      <c r="T5" s="44"/>
      <c r="U5" s="44"/>
      <c r="V5" s="44"/>
      <c r="W5" s="44"/>
      <c r="X5" s="44"/>
      <c r="Y5" s="45"/>
    </row>
    <row r="6" spans="1:25">
      <c r="A6" s="28"/>
      <c r="B6" s="28"/>
      <c r="C6" s="28"/>
      <c r="D6" s="28"/>
      <c r="E6" s="28"/>
      <c r="P6" s="63" t="s">
        <v>38</v>
      </c>
      <c r="Q6" s="46"/>
      <c r="R6" s="46"/>
      <c r="S6" s="46"/>
      <c r="T6" s="46"/>
      <c r="U6" s="46"/>
      <c r="V6" s="46"/>
      <c r="W6" s="46"/>
      <c r="X6" s="46"/>
      <c r="Y6" s="46"/>
    </row>
    <row r="7" spans="1:25" ht="30">
      <c r="A7" s="24" t="s">
        <v>6</v>
      </c>
      <c r="B7" s="27" t="s">
        <v>7</v>
      </c>
      <c r="C7" s="27"/>
      <c r="D7" s="2" t="s">
        <v>8</v>
      </c>
      <c r="E7" s="2" t="s">
        <v>9</v>
      </c>
      <c r="P7" s="47" t="s">
        <v>10</v>
      </c>
      <c r="Q7" s="48"/>
      <c r="R7" s="48"/>
      <c r="S7" s="48"/>
      <c r="T7" s="48"/>
      <c r="U7" s="48"/>
      <c r="V7" s="48"/>
      <c r="W7" s="48"/>
      <c r="X7" s="48"/>
      <c r="Y7" s="49"/>
    </row>
    <row r="8" spans="1:25" ht="15.75">
      <c r="A8" s="3">
        <v>0</v>
      </c>
      <c r="B8" s="25">
        <v>4.3999999999999997E-2</v>
      </c>
      <c r="C8" s="25">
        <v>4.8000000000000001E-2</v>
      </c>
      <c r="D8" s="23">
        <f>AVERAGE(B8:C8)</f>
        <v>4.5999999999999999E-2</v>
      </c>
      <c r="E8" s="18">
        <f>D8-$D$8</f>
        <v>0</v>
      </c>
      <c r="P8" s="30" t="s">
        <v>11</v>
      </c>
      <c r="Q8" s="30"/>
      <c r="R8" s="30"/>
      <c r="S8" s="30"/>
      <c r="T8" s="30"/>
      <c r="U8" s="30"/>
      <c r="V8" s="30"/>
      <c r="W8" s="30"/>
      <c r="X8" s="30"/>
      <c r="Y8" s="30"/>
    </row>
    <row r="9" spans="1:25" ht="15.75">
      <c r="A9" s="3">
        <v>200</v>
      </c>
      <c r="B9" s="25">
        <v>0.42099999999999999</v>
      </c>
      <c r="C9" s="25">
        <v>0.42199999999999999</v>
      </c>
      <c r="D9" s="23">
        <f t="shared" ref="D9:D15" si="0">AVERAGE(B9:C9)</f>
        <v>0.42149999999999999</v>
      </c>
      <c r="E9" s="18">
        <f t="shared" ref="E9:E15" si="1">D9-$D$8</f>
        <v>0.3755</v>
      </c>
      <c r="P9" s="30"/>
      <c r="Q9" s="30"/>
      <c r="R9" s="30"/>
      <c r="S9" s="30"/>
      <c r="T9" s="30"/>
      <c r="U9" s="30"/>
      <c r="V9" s="30"/>
      <c r="W9" s="30"/>
      <c r="X9" s="30"/>
      <c r="Y9" s="30"/>
    </row>
    <row r="10" spans="1:25" ht="15.75">
      <c r="A10" s="3">
        <v>400</v>
      </c>
      <c r="B10" s="25">
        <v>0.79900000000000004</v>
      </c>
      <c r="C10" s="25">
        <v>0.79</v>
      </c>
      <c r="D10" s="23">
        <f t="shared" si="0"/>
        <v>0.79449999999999998</v>
      </c>
      <c r="E10" s="18">
        <f t="shared" si="1"/>
        <v>0.74849999999999994</v>
      </c>
      <c r="P10" s="62" t="s">
        <v>39</v>
      </c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15.75">
      <c r="A11" s="3">
        <v>500</v>
      </c>
      <c r="B11" s="25">
        <v>0.98199999999999998</v>
      </c>
      <c r="C11" s="25">
        <v>0.97099999999999997</v>
      </c>
      <c r="D11" s="23">
        <f t="shared" si="0"/>
        <v>0.97649999999999992</v>
      </c>
      <c r="E11" s="18">
        <f t="shared" si="1"/>
        <v>0.93049999999999988</v>
      </c>
      <c r="P11" s="64" t="s">
        <v>13</v>
      </c>
      <c r="Q11" s="65"/>
      <c r="R11" s="65"/>
      <c r="S11" s="65"/>
      <c r="T11" s="65"/>
      <c r="U11" s="65"/>
      <c r="V11" s="65"/>
      <c r="W11" s="65"/>
      <c r="X11" s="65"/>
      <c r="Y11" s="65"/>
    </row>
    <row r="12" spans="1:25" ht="15.75">
      <c r="A12" s="3">
        <v>600</v>
      </c>
      <c r="B12" s="25">
        <v>1.159</v>
      </c>
      <c r="C12" s="25">
        <v>1.167</v>
      </c>
      <c r="D12" s="23">
        <f t="shared" si="0"/>
        <v>1.163</v>
      </c>
      <c r="E12" s="18">
        <f t="shared" si="1"/>
        <v>1.117</v>
      </c>
      <c r="P12" s="65" t="s">
        <v>14</v>
      </c>
      <c r="Q12" s="65"/>
      <c r="R12" s="65"/>
      <c r="S12" s="65"/>
      <c r="T12" s="65"/>
      <c r="U12" s="65"/>
      <c r="V12" s="65"/>
      <c r="W12" s="65"/>
      <c r="X12" s="65"/>
      <c r="Y12" s="65"/>
    </row>
    <row r="13" spans="1:25" ht="15.75">
      <c r="A13" s="3">
        <v>800</v>
      </c>
      <c r="B13" s="25">
        <v>1.518</v>
      </c>
      <c r="C13" s="25">
        <v>1.5109999999999999</v>
      </c>
      <c r="D13" s="23">
        <f t="shared" si="0"/>
        <v>1.5145</v>
      </c>
      <c r="E13" s="18">
        <f t="shared" si="1"/>
        <v>1.4684999999999999</v>
      </c>
      <c r="P13" s="65" t="s">
        <v>15</v>
      </c>
      <c r="Q13" s="65"/>
      <c r="R13" s="65"/>
      <c r="S13" s="65"/>
      <c r="T13" s="65"/>
      <c r="U13" s="65"/>
      <c r="V13" s="65"/>
      <c r="W13" s="65"/>
      <c r="X13" s="65"/>
      <c r="Y13" s="65"/>
    </row>
    <row r="14" spans="1:25" ht="15.75">
      <c r="A14" s="3">
        <v>900</v>
      </c>
      <c r="B14" s="25">
        <v>1.6839999999999999</v>
      </c>
      <c r="C14" s="25">
        <v>1.6839999999999999</v>
      </c>
      <c r="D14" s="23">
        <f t="shared" si="0"/>
        <v>1.6839999999999999</v>
      </c>
      <c r="E14" s="18">
        <f t="shared" si="1"/>
        <v>1.6379999999999999</v>
      </c>
      <c r="P14" s="65" t="s">
        <v>16</v>
      </c>
      <c r="Q14" s="65"/>
      <c r="R14" s="65"/>
      <c r="S14" s="65"/>
      <c r="T14" s="65"/>
      <c r="U14" s="65"/>
      <c r="V14" s="65"/>
      <c r="W14" s="65"/>
      <c r="X14" s="65"/>
      <c r="Y14" s="65"/>
    </row>
    <row r="15" spans="1:25" ht="15.75">
      <c r="A15" s="3">
        <v>1000</v>
      </c>
      <c r="B15" s="25">
        <v>1.8819999999999999</v>
      </c>
      <c r="C15" s="25">
        <v>1.881</v>
      </c>
      <c r="D15" s="23">
        <f t="shared" si="0"/>
        <v>1.8815</v>
      </c>
      <c r="E15" s="18">
        <f t="shared" si="1"/>
        <v>1.8354999999999999</v>
      </c>
      <c r="P15" s="65" t="s">
        <v>17</v>
      </c>
      <c r="Q15" s="65"/>
      <c r="R15" s="65"/>
      <c r="S15" s="65"/>
      <c r="T15" s="65"/>
      <c r="U15" s="65"/>
      <c r="V15" s="65"/>
      <c r="W15" s="65"/>
      <c r="X15" s="65"/>
      <c r="Y15" s="65"/>
    </row>
    <row r="16" spans="1:25" ht="15" customHeight="1">
      <c r="A16" s="26" t="s">
        <v>18</v>
      </c>
      <c r="B16" s="26"/>
      <c r="C16" s="26"/>
      <c r="D16" s="26"/>
      <c r="E16" s="26"/>
      <c r="P16" s="65" t="s">
        <v>19</v>
      </c>
      <c r="Q16" s="65"/>
      <c r="R16" s="65"/>
      <c r="S16" s="65"/>
      <c r="T16" s="65"/>
      <c r="U16" s="65"/>
      <c r="V16" s="65"/>
      <c r="W16" s="65"/>
      <c r="X16" s="65"/>
      <c r="Y16" s="65"/>
    </row>
    <row r="17" spans="1:25">
      <c r="A17" s="26"/>
      <c r="B17" s="26"/>
      <c r="C17" s="26"/>
      <c r="D17" s="26"/>
      <c r="E17" s="26"/>
      <c r="P17" s="65" t="s">
        <v>20</v>
      </c>
      <c r="Q17" s="65"/>
      <c r="R17" s="65"/>
      <c r="S17" s="65"/>
      <c r="T17" s="65"/>
      <c r="U17" s="65"/>
      <c r="V17" s="65"/>
      <c r="W17" s="65"/>
      <c r="X17" s="65"/>
      <c r="Y17" s="65"/>
    </row>
    <row r="18" spans="1:25">
      <c r="A18" s="26"/>
      <c r="B18" s="26"/>
      <c r="C18" s="26"/>
      <c r="D18" s="26"/>
      <c r="E18" s="26"/>
      <c r="P18" s="30" t="s">
        <v>40</v>
      </c>
      <c r="Q18" s="30"/>
      <c r="R18" s="30"/>
      <c r="S18" s="30"/>
      <c r="T18" s="30"/>
      <c r="U18" s="30"/>
      <c r="V18" s="30"/>
      <c r="W18" s="30"/>
      <c r="X18" s="30"/>
      <c r="Y18" s="30"/>
    </row>
    <row r="19" spans="1:25" ht="15.75" thickBot="1">
      <c r="A19" s="26"/>
      <c r="B19" s="26"/>
      <c r="C19" s="26"/>
      <c r="D19" s="26"/>
      <c r="E19" s="26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spans="1:25" ht="15.75" thickBot="1">
      <c r="A20" s="4"/>
      <c r="B20" s="5" t="s">
        <v>22</v>
      </c>
      <c r="C20" s="6">
        <f>SLOPE(E8:E15,A8:A15)</f>
        <v>1.8238392857142858E-3</v>
      </c>
      <c r="D20" s="7" t="s">
        <v>23</v>
      </c>
      <c r="E20" s="8">
        <f>INTERCEPT(E8:E15,A8:A15)</f>
        <v>1.1075892857142833E-2</v>
      </c>
      <c r="P20" s="65" t="s">
        <v>24</v>
      </c>
      <c r="Q20" s="65"/>
      <c r="R20" s="65"/>
      <c r="S20" s="65"/>
      <c r="T20" s="65"/>
      <c r="U20" s="65"/>
      <c r="V20" s="65"/>
      <c r="W20" s="65"/>
      <c r="X20" s="65"/>
      <c r="Y20" s="65"/>
    </row>
    <row r="21" spans="1:25">
      <c r="P21" s="31" t="s">
        <v>25</v>
      </c>
      <c r="Q21" s="31"/>
      <c r="R21" s="31"/>
      <c r="S21" s="31"/>
      <c r="T21" s="31"/>
      <c r="U21" s="31"/>
      <c r="V21" s="31"/>
      <c r="W21" s="31"/>
      <c r="X21" s="31"/>
      <c r="Y21" s="31"/>
    </row>
    <row r="22" spans="1:25" ht="26.25" customHeight="1">
      <c r="A22" s="9"/>
      <c r="B22" s="10"/>
      <c r="C22" s="29" t="s">
        <v>7</v>
      </c>
      <c r="D22" s="29"/>
      <c r="E22" s="29"/>
      <c r="F22" s="11" t="s">
        <v>26</v>
      </c>
      <c r="G22" s="11" t="s">
        <v>27</v>
      </c>
      <c r="H22" s="11" t="s">
        <v>28</v>
      </c>
      <c r="I22" s="11" t="s">
        <v>29</v>
      </c>
      <c r="J22" s="11" t="s">
        <v>30</v>
      </c>
      <c r="K22" s="11" t="s">
        <v>31</v>
      </c>
      <c r="L22" s="11" t="s">
        <v>32</v>
      </c>
      <c r="M22" s="32" t="s">
        <v>33</v>
      </c>
      <c r="N22" s="32"/>
      <c r="O22" s="12"/>
    </row>
    <row r="23" spans="1:25">
      <c r="A23" s="30" t="s">
        <v>34</v>
      </c>
      <c r="B23" s="13" t="s">
        <v>35</v>
      </c>
      <c r="C23" s="14">
        <v>1.107</v>
      </c>
      <c r="D23" s="14">
        <v>1.115</v>
      </c>
      <c r="E23" s="14">
        <v>1.1100000000000001</v>
      </c>
      <c r="F23" s="15">
        <f>AVERAGE(C23:E23)</f>
        <v>1.1106666666666667</v>
      </c>
      <c r="G23" s="53">
        <f>F24-F23</f>
        <v>4.8333333333333339E-2</v>
      </c>
      <c r="H23" s="54">
        <v>5</v>
      </c>
      <c r="I23" s="55">
        <v>50</v>
      </c>
      <c r="J23" s="55">
        <v>25</v>
      </c>
      <c r="K23" s="61">
        <v>1</v>
      </c>
      <c r="L23" s="33"/>
      <c r="M23" s="51">
        <f>(G23-$E$20)/$C$20*I23/J23/H23*K23</f>
        <v>8.1712113052985487</v>
      </c>
      <c r="N23" s="52"/>
    </row>
    <row r="24" spans="1:25" ht="15.75" thickBot="1">
      <c r="A24" s="30"/>
      <c r="B24" s="16" t="s">
        <v>36</v>
      </c>
      <c r="C24" s="17">
        <v>1.157</v>
      </c>
      <c r="D24" s="17">
        <v>1.161</v>
      </c>
      <c r="E24" s="17">
        <v>1.159</v>
      </c>
      <c r="F24" s="18">
        <f>AVERAGE(C24:E24)</f>
        <v>1.159</v>
      </c>
      <c r="G24" s="53"/>
      <c r="H24" s="54"/>
      <c r="I24" s="56"/>
      <c r="J24" s="56"/>
      <c r="K24" s="61"/>
      <c r="L24" s="34"/>
      <c r="M24" s="52"/>
      <c r="N24" s="52"/>
    </row>
    <row r="25" spans="1:25">
      <c r="A25" s="30" t="s">
        <v>37</v>
      </c>
      <c r="B25" s="13" t="s">
        <v>35</v>
      </c>
      <c r="C25" s="19">
        <v>1.677</v>
      </c>
      <c r="D25" s="19">
        <v>1.6950000000000001</v>
      </c>
      <c r="E25" s="19">
        <v>1.7090000000000001</v>
      </c>
      <c r="F25" s="20">
        <f>AVERAGE(C25:E25)</f>
        <v>1.6936666666666664</v>
      </c>
      <c r="G25" s="53">
        <f>F26-F25</f>
        <v>7.6666666666666883E-2</v>
      </c>
      <c r="H25" s="54">
        <v>5</v>
      </c>
      <c r="I25" s="55">
        <v>50</v>
      </c>
      <c r="J25" s="55">
        <v>25</v>
      </c>
      <c r="K25" s="57">
        <v>1</v>
      </c>
      <c r="L25" s="59">
        <v>4.8840000000000003</v>
      </c>
      <c r="M25" s="51">
        <f>(G25-$E$20)/$C$20*I25/J25/L25/H25*K25</f>
        <v>2.9453745124181414</v>
      </c>
      <c r="N25" s="52"/>
    </row>
    <row r="26" spans="1:25">
      <c r="A26" s="30"/>
      <c r="B26" s="16" t="s">
        <v>36</v>
      </c>
      <c r="C26" s="21">
        <v>1.7589999999999999</v>
      </c>
      <c r="D26" s="21">
        <v>1.77</v>
      </c>
      <c r="E26" s="21">
        <v>1.782</v>
      </c>
      <c r="F26" s="22">
        <f>AVERAGE(C26:E26)</f>
        <v>1.7703333333333333</v>
      </c>
      <c r="G26" s="53"/>
      <c r="H26" s="54"/>
      <c r="I26" s="56"/>
      <c r="J26" s="56"/>
      <c r="K26" s="58"/>
      <c r="L26" s="60"/>
      <c r="M26" s="52"/>
      <c r="N26" s="52"/>
    </row>
  </sheetData>
  <mergeCells count="39">
    <mergeCell ref="P11:Y11"/>
    <mergeCell ref="P12:Y12"/>
    <mergeCell ref="P13:Y13"/>
    <mergeCell ref="A1:N3"/>
    <mergeCell ref="P2:Y2"/>
    <mergeCell ref="P3:Y3"/>
    <mergeCell ref="P4:Y5"/>
    <mergeCell ref="A5:E6"/>
    <mergeCell ref="P6:Y6"/>
    <mergeCell ref="B7:C7"/>
    <mergeCell ref="P7:Y7"/>
    <mergeCell ref="P8:Y9"/>
    <mergeCell ref="P10:Y10"/>
    <mergeCell ref="A23:A24"/>
    <mergeCell ref="K23:K24"/>
    <mergeCell ref="L23:L24"/>
    <mergeCell ref="M23:N24"/>
    <mergeCell ref="H23:H24"/>
    <mergeCell ref="G23:G24"/>
    <mergeCell ref="I23:I24"/>
    <mergeCell ref="J23:J24"/>
    <mergeCell ref="P20:Y20"/>
    <mergeCell ref="P21:Y21"/>
    <mergeCell ref="C22:E22"/>
    <mergeCell ref="M22:N22"/>
    <mergeCell ref="P14:Y14"/>
    <mergeCell ref="P15:Y15"/>
    <mergeCell ref="A16:E19"/>
    <mergeCell ref="P16:Y16"/>
    <mergeCell ref="P17:Y17"/>
    <mergeCell ref="P18:Y19"/>
    <mergeCell ref="A25:A26"/>
    <mergeCell ref="K25:K26"/>
    <mergeCell ref="L25:L26"/>
    <mergeCell ref="M25:N26"/>
    <mergeCell ref="H25:H26"/>
    <mergeCell ref="G25:G26"/>
    <mergeCell ref="I25:I26"/>
    <mergeCell ref="J25:J2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C294555603E4DA293C2389DA9DDAF" ma:contentTypeVersion="5" ma:contentTypeDescription="Create a new document." ma:contentTypeScope="" ma:versionID="e5883d9f1e6e8bf947ce30b92f867144">
  <xsd:schema xmlns:xsd="http://www.w3.org/2001/XMLSchema" xmlns:xs="http://www.w3.org/2001/XMLSchema" xmlns:p="http://schemas.microsoft.com/office/2006/metadata/properties" xmlns:ns2="ce576e1c-9a92-4a0e-8446-d89470922fce" xmlns:ns3="cbf2210f-1759-4589-8834-8c588a8e1d04" targetNamespace="http://schemas.microsoft.com/office/2006/metadata/properties" ma:root="true" ma:fieldsID="f6261bc3a1912fe8e9a80feed6763208" ns2:_="" ns3:_="">
    <xsd:import namespace="ce576e1c-9a92-4a0e-8446-d89470922fce"/>
    <xsd:import namespace="cbf2210f-1759-4589-8834-8c588a8e1d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76e1c-9a92-4a0e-8446-d89470922f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2210f-1759-4589-8834-8c588a8e1d0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318B79-2A72-4038-BF50-4AF6E2E58BCF}"/>
</file>

<file path=customXml/itemProps2.xml><?xml version="1.0" encoding="utf-8"?>
<ds:datastoreItem xmlns:ds="http://schemas.openxmlformats.org/officeDocument/2006/customXml" ds:itemID="{AFD9D5DB-C216-427E-8246-00EB1EA98FC8}"/>
</file>

<file path=customXml/itemProps3.xml><?xml version="1.0" encoding="utf-8"?>
<ds:datastoreItem xmlns:ds="http://schemas.openxmlformats.org/officeDocument/2006/customXml" ds:itemID="{3F0978B0-2DC2-4D4A-A7F2-EF460A312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Naperstkow, Zoya</cp:lastModifiedBy>
  <cp:revision/>
  <dcterms:created xsi:type="dcterms:W3CDTF">2006-09-16T00:00:00Z</dcterms:created>
  <dcterms:modified xsi:type="dcterms:W3CDTF">2023-10-10T13:02:53Z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0x0101009EBC294555603E4DA293C2389DA9DDAF</vt:lpwstr>
  </property>
</Properties>
</file>