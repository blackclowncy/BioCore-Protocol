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2.xml" ContentType="application/vnd.ms-office.chart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ALP" sheetId="1" r:id="rId1"/>
    <sheet name="Example analysis" sheetId="2" r:id="rId2"/>
  </sheets>
  <calcPr calcId="152511"/>
</workbook>
</file>

<file path=xl/calcChain.xml><?xml version="1.0" encoding="utf-8"?>
<calcChain xmlns="http://schemas.openxmlformats.org/spreadsheetml/2006/main">
  <c r="F24" i="1" l="1"/>
  <c r="G24" i="1" s="1"/>
  <c r="F23" i="1"/>
  <c r="G23" i="1" s="1"/>
  <c r="D15" i="1"/>
  <c r="D14" i="1"/>
  <c r="D13" i="1"/>
  <c r="E13" i="1" s="1"/>
  <c r="D12" i="1"/>
  <c r="E12" i="1" s="1"/>
  <c r="D11" i="1"/>
  <c r="E11" i="1" s="1"/>
  <c r="D10" i="1"/>
  <c r="E10" i="1" s="1"/>
  <c r="D9" i="1"/>
  <c r="D8" i="1"/>
  <c r="E8" i="1" s="1"/>
  <c r="K23" i="2"/>
  <c r="E14" i="1" l="1"/>
  <c r="E9" i="1"/>
  <c r="E15" i="1"/>
  <c r="E20" i="1"/>
  <c r="K23" i="1" s="1"/>
  <c r="C20" i="1"/>
  <c r="K24" i="1" l="1"/>
  <c r="C20" i="2" l="1"/>
  <c r="E20" i="2"/>
  <c r="F23" i="2" l="1"/>
  <c r="F24" i="2"/>
  <c r="D15" i="2"/>
  <c r="D14" i="2"/>
  <c r="D13" i="2"/>
  <c r="D12" i="2"/>
  <c r="D11" i="2"/>
  <c r="D10" i="2"/>
  <c r="D9" i="2"/>
  <c r="D8" i="2"/>
  <c r="G24" i="2" l="1"/>
  <c r="K24" i="2" s="1"/>
  <c r="G23" i="2"/>
  <c r="E11" i="2"/>
  <c r="E14" i="2"/>
  <c r="E15" i="2"/>
  <c r="E12" i="2"/>
  <c r="E8" i="2"/>
  <c r="E13" i="2"/>
  <c r="E9" i="2"/>
  <c r="E10" i="2"/>
</calcChain>
</file>

<file path=xl/sharedStrings.xml><?xml version="1.0" encoding="utf-8"?>
<sst xmlns="http://schemas.openxmlformats.org/spreadsheetml/2006/main" count="72" uniqueCount="35">
  <si>
    <t>Calculation</t>
    <phoneticPr fontId="2" type="noConversion"/>
  </si>
  <si>
    <t>1.Serum (plasma) and other liquid sample:</t>
    <phoneticPr fontId="2" type="noConversion"/>
  </si>
  <si>
    <t>Standard curve</t>
    <phoneticPr fontId="2" type="noConversion"/>
  </si>
  <si>
    <t>OD Value</t>
    <phoneticPr fontId="2" type="noConversion"/>
  </si>
  <si>
    <t>Average OD</t>
    <phoneticPr fontId="2" type="noConversion"/>
  </si>
  <si>
    <t>Absoluted OD</t>
    <phoneticPr fontId="2" type="noConversion"/>
  </si>
  <si>
    <t>2. Tissue and cells sample:</t>
    <phoneticPr fontId="2" type="noConversion"/>
  </si>
  <si>
    <r>
      <rPr>
        <b/>
        <sz val="11"/>
        <color theme="1"/>
        <rFont val="Times New Roman"/>
        <family val="1"/>
      </rPr>
      <t>[Note]</t>
    </r>
    <r>
      <rPr>
        <b/>
        <sz val="11"/>
        <color theme="1"/>
        <rFont val="宋体"/>
        <family val="3"/>
        <charset val="134"/>
      </rPr>
      <t>：</t>
    </r>
    <phoneticPr fontId="2" type="noConversion"/>
  </si>
  <si>
    <t xml:space="preserve">y: The absolute OD value of standard; </t>
    <phoneticPr fontId="2" type="noConversion"/>
  </si>
  <si>
    <t>x: The concentration of standard;</t>
    <phoneticPr fontId="2" type="noConversion"/>
  </si>
  <si>
    <t xml:space="preserve">a: The slope of standard curve; </t>
    <phoneticPr fontId="2" type="noConversion"/>
  </si>
  <si>
    <t>b: The intercept of standard curve.</t>
    <phoneticPr fontId="2" type="noConversion"/>
  </si>
  <si>
    <t xml:space="preserve">Plot the standard curve by using OD value of standard and correspondent concentration as y-axis and x-axis respectively.The standard curve is: y= ax + b. </t>
    <phoneticPr fontId="2" type="noConversion"/>
  </si>
  <si>
    <t>f: Dilution factor of sample before test</t>
    <phoneticPr fontId="2" type="noConversion"/>
  </si>
  <si>
    <t>Cpr: Concentration of protein in sample (gprot/L)</t>
    <phoneticPr fontId="2" type="noConversion"/>
  </si>
  <si>
    <t>a:</t>
    <phoneticPr fontId="2" type="noConversion"/>
  </si>
  <si>
    <t>b:</t>
    <phoneticPr fontId="2" type="noConversion"/>
  </si>
  <si>
    <t>f</t>
    <phoneticPr fontId="2" type="noConversion"/>
  </si>
  <si>
    <t>Cpr</t>
    <phoneticPr fontId="2" type="noConversion"/>
  </si>
  <si>
    <t>Serum (plasma) sample</t>
    <phoneticPr fontId="2" type="noConversion"/>
  </si>
  <si>
    <t>ODSample</t>
    <phoneticPr fontId="2" type="noConversion"/>
  </si>
  <si>
    <t>Tissue and cells sample</t>
    <phoneticPr fontId="2" type="noConversion"/>
  </si>
  <si>
    <t>ODSample</t>
    <phoneticPr fontId="2" type="noConversion"/>
  </si>
  <si>
    <r>
      <rPr>
        <b/>
        <sz val="11"/>
        <color theme="1"/>
        <rFont val="Times New Roman"/>
        <family val="1"/>
      </rPr>
      <t>Unit definition:</t>
    </r>
    <r>
      <rPr>
        <sz val="11"/>
        <color theme="1"/>
        <rFont val="Times New Roman"/>
        <family val="1"/>
      </rPr>
      <t xml:space="preserve">  The amount of 1 mg phenol produced by 100 mL sample react with the substrate in 15 min is defined as 1 ALP activity unit.</t>
    </r>
    <phoneticPr fontId="2" type="noConversion"/>
  </si>
  <si>
    <r>
      <rPr>
        <b/>
        <sz val="11"/>
        <color theme="1"/>
        <rFont val="Times New Roman"/>
        <family val="1"/>
      </rPr>
      <t>Unit definition:</t>
    </r>
    <r>
      <rPr>
        <sz val="11"/>
        <color theme="1"/>
        <rFont val="Times New Roman"/>
        <family val="1"/>
      </rPr>
      <t>The amount of 1 mg phenol produced by 1 g tissue protein react with the substrate in 15 min is defined as 1 ALP activity unit.</t>
    </r>
    <phoneticPr fontId="2" type="noConversion"/>
  </si>
  <si>
    <t>ALP activity (King unit/gprot)= (ΔA - b) ÷ a ÷ Cpr × f</t>
    <phoneticPr fontId="2" type="noConversion"/>
  </si>
  <si>
    <t>ΔA: Absolute OD (ODSample – ODBlank).</t>
    <phoneticPr fontId="2" type="noConversion"/>
  </si>
  <si>
    <t>ALPactivity (King unit/100 mL or King unit/ gprot)</t>
    <phoneticPr fontId="2" type="noConversion"/>
  </si>
  <si>
    <r>
      <rPr>
        <sz val="11"/>
        <color theme="1"/>
        <rFont val="宋体"/>
        <family val="3"/>
        <charset val="134"/>
      </rPr>
      <t>△</t>
    </r>
    <r>
      <rPr>
        <sz val="11"/>
        <color theme="1"/>
        <rFont val="Times New Roman"/>
        <family val="1"/>
      </rPr>
      <t>A</t>
    </r>
    <phoneticPr fontId="2" type="noConversion"/>
  </si>
  <si>
    <r>
      <t>ALP activity (King unit/100 mL)= (ΔA-b) ÷ a × V</t>
    </r>
    <r>
      <rPr>
        <vertAlign val="subscript"/>
        <sz val="11"/>
        <color theme="1"/>
        <rFont val="Times New Roman"/>
        <family val="1"/>
      </rPr>
      <t xml:space="preserve">1 </t>
    </r>
    <r>
      <rPr>
        <sz val="11"/>
        <color theme="1"/>
        <rFont val="Times New Roman"/>
        <family val="1"/>
      </rPr>
      <t xml:space="preserve">× f </t>
    </r>
    <phoneticPr fontId="2" type="noConversion"/>
  </si>
  <si>
    <t>Concentration (mg/mL)</t>
    <phoneticPr fontId="2" type="noConversion"/>
  </si>
  <si>
    <r>
      <t>V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: The volume of sample in definition, 100 mL.</t>
    </r>
    <phoneticPr fontId="2" type="noConversion"/>
  </si>
  <si>
    <t xml:space="preserve">V1/mL </t>
    <phoneticPr fontId="2" type="noConversion"/>
  </si>
  <si>
    <t>EEA002</t>
    <phoneticPr fontId="2" type="noConversion"/>
  </si>
  <si>
    <t>EEA002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</si>
</sst>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10" x14ac:knownFonts="1"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6" borderId="8" xfId="0" applyFont="1" applyFill="1" applyBorder="1" applyAlignment="1">
      <alignment vertical="center"/>
    </xf>
    <xf numFmtId="0" fontId="3" fillId="6" borderId="8" xfId="0" applyFont="1" applyFill="1" applyBorder="1" applyAlignment="1">
      <alignment horizontal="left" vertical="center"/>
    </xf>
    <xf numFmtId="176" fontId="3" fillId="0" borderId="9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176" fontId="3" fillId="0" borderId="1" xfId="0" applyNumberFormat="1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Fill="1" applyAlignment="1"/>
    <xf numFmtId="0" fontId="3" fillId="0" borderId="10" xfId="0" applyFont="1" applyFill="1" applyBorder="1" applyAlignment="1"/>
    <xf numFmtId="0" fontId="3" fillId="0" borderId="0" xfId="0" applyFont="1" applyAlignment="1"/>
    <xf numFmtId="0" fontId="3" fillId="0" borderId="1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0" fontId="3" fillId="9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176" fontId="3" fillId="10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76" fontId="9" fillId="0" borderId="1" xfId="0" applyNumberFormat="1" applyFont="1" applyBorder="1" applyAlignment="1">
      <alignment horizontal="left" vertical="center"/>
    </xf>
    <xf numFmtId="176" fontId="9" fillId="0" borderId="2" xfId="0" applyNumberFormat="1" applyFont="1" applyBorder="1" applyAlignment="1">
      <alignment horizontal="left" vertical="center"/>
    </xf>
    <xf numFmtId="176" fontId="9" fillId="0" borderId="4" xfId="0" applyNumberFormat="1" applyFont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123818897637795"/>
                  <c:y val="0.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ALP!$A$8:$A$15</c:f>
              <c:numCache>
                <c:formatCode>General</c:formatCode>
                <c:ptCount val="8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ALP!$E$8:$E$15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675992"/>
        <c:axId val="1013677168"/>
      </c:scatterChart>
      <c:valAx>
        <c:axId val="1013675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3677168"/>
        <c:crosses val="autoZero"/>
        <c:crossBetween val="midCat"/>
      </c:valAx>
      <c:valAx>
        <c:axId val="10136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3675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457152230971128"/>
                  <c:y val="6.114942528735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'Example analysis'!$A$8:$A$15</c:f>
              <c:numCache>
                <c:formatCode>General</c:formatCode>
                <c:ptCount val="8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</c:numCache>
            </c:numRef>
          </c:xVal>
          <c:yVal>
            <c:numRef>
              <c:f>'Example analysis'!$E$8:$E$15</c:f>
              <c:numCache>
                <c:formatCode>General</c:formatCode>
                <c:ptCount val="8"/>
                <c:pt idx="0">
                  <c:v>0</c:v>
                </c:pt>
                <c:pt idx="1">
                  <c:v>8.1000000000000016E-2</c:v>
                </c:pt>
                <c:pt idx="2">
                  <c:v>0.1595</c:v>
                </c:pt>
                <c:pt idx="3">
                  <c:v>0.3175</c:v>
                </c:pt>
                <c:pt idx="4">
                  <c:v>0.61050000000000004</c:v>
                </c:pt>
                <c:pt idx="5">
                  <c:v>0.91099999999999992</c:v>
                </c:pt>
                <c:pt idx="6">
                  <c:v>1.2095</c:v>
                </c:pt>
                <c:pt idx="7">
                  <c:v>1.508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319632"/>
        <c:axId val="718320416"/>
      </c:scatterChart>
      <c:valAx>
        <c:axId val="71831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320416"/>
        <c:crosses val="autoZero"/>
        <c:crossBetween val="midCat"/>
      </c:valAx>
      <c:valAx>
        <c:axId val="7183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31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33337</xdr:rowOff>
    </xdr:from>
    <xdr:to>
      <xdr:col>12</xdr:col>
      <xdr:colOff>19050</xdr:colOff>
      <xdr:row>17</xdr:row>
      <xdr:rowOff>90487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619124</xdr:colOff>
      <xdr:row>3</xdr:row>
      <xdr:rowOff>176211</xdr:rowOff>
    </xdr:from>
    <xdr:to>
      <xdr:col>12</xdr:col>
      <xdr:colOff>371474</xdr:colOff>
      <xdr:row>17</xdr:row>
      <xdr:rowOff>104774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workbookViewId="0">
      <selection activeCell="N21" sqref="N21"/>
    </sheetView>
  </sheetViews>
  <sheetFormatPr defaultRowHeight="15" x14ac:dyDescent="0.25"/>
  <cols>
    <col min="1" max="1" width="12.875" style="1" customWidth="1"/>
    <col min="2" max="4" width="9" style="1"/>
    <col min="5" max="5" width="9.875" style="1" customWidth="1"/>
    <col min="6" max="6" width="11.875" style="1" customWidth="1"/>
    <col min="7" max="7" width="9.875" style="1" bestFit="1" customWidth="1"/>
    <col min="8" max="8" width="9.875" style="1" customWidth="1"/>
    <col min="9" max="16384" width="9" style="1"/>
  </cols>
  <sheetData>
    <row r="1" spans="1:24" x14ac:dyDescent="0.25">
      <c r="A1" s="45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24" ht="15.7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O2" s="46" t="s">
        <v>0</v>
      </c>
      <c r="P2" s="47"/>
      <c r="Q2" s="47"/>
      <c r="R2" s="47"/>
      <c r="S2" s="47"/>
      <c r="T2" s="47"/>
      <c r="U2" s="47"/>
      <c r="V2" s="47"/>
      <c r="W2" s="47"/>
      <c r="X2" s="47"/>
    </row>
    <row r="3" spans="1:24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O3" s="48" t="s">
        <v>1</v>
      </c>
      <c r="P3" s="49"/>
      <c r="Q3" s="49"/>
      <c r="R3" s="49"/>
      <c r="S3" s="49"/>
      <c r="T3" s="49"/>
      <c r="U3" s="49"/>
      <c r="V3" s="49"/>
      <c r="W3" s="49"/>
      <c r="X3" s="50"/>
    </row>
    <row r="4" spans="1:24" x14ac:dyDescent="0.25">
      <c r="O4" s="40" t="s">
        <v>23</v>
      </c>
      <c r="P4" s="40"/>
      <c r="Q4" s="40"/>
      <c r="R4" s="40"/>
      <c r="S4" s="40"/>
      <c r="T4" s="40"/>
      <c r="U4" s="40"/>
      <c r="V4" s="40"/>
      <c r="W4" s="40"/>
      <c r="X4" s="40"/>
    </row>
    <row r="5" spans="1:24" x14ac:dyDescent="0.25">
      <c r="A5" s="43" t="s">
        <v>2</v>
      </c>
      <c r="B5" s="43"/>
      <c r="C5" s="43"/>
      <c r="D5" s="43"/>
      <c r="E5" s="43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ht="16.5" x14ac:dyDescent="0.3">
      <c r="A6" s="43"/>
      <c r="B6" s="43"/>
      <c r="C6" s="43"/>
      <c r="D6" s="43"/>
      <c r="E6" s="43"/>
      <c r="O6" s="36" t="s">
        <v>29</v>
      </c>
      <c r="P6" s="36"/>
      <c r="Q6" s="36"/>
      <c r="R6" s="36"/>
      <c r="S6" s="36"/>
      <c r="T6" s="36"/>
      <c r="U6" s="36"/>
      <c r="V6" s="36"/>
      <c r="W6" s="36"/>
      <c r="X6" s="36"/>
    </row>
    <row r="7" spans="1:24" ht="30" x14ac:dyDescent="0.25">
      <c r="A7" s="2" t="s">
        <v>30</v>
      </c>
      <c r="B7" s="44" t="s">
        <v>3</v>
      </c>
      <c r="C7" s="44"/>
      <c r="D7" s="2" t="s">
        <v>4</v>
      </c>
      <c r="E7" s="2" t="s">
        <v>5</v>
      </c>
      <c r="O7" s="37" t="s">
        <v>6</v>
      </c>
      <c r="P7" s="38"/>
      <c r="Q7" s="38"/>
      <c r="R7" s="38"/>
      <c r="S7" s="38"/>
      <c r="T7" s="38"/>
      <c r="U7" s="38"/>
      <c r="V7" s="38"/>
      <c r="W7" s="38"/>
      <c r="X7" s="39"/>
    </row>
    <row r="8" spans="1:24" x14ac:dyDescent="0.25">
      <c r="A8" s="3">
        <v>0</v>
      </c>
      <c r="B8" s="4"/>
      <c r="C8" s="4"/>
      <c r="D8" s="5" t="e">
        <f>AVERAGE(B8:C8)</f>
        <v>#DIV/0!</v>
      </c>
      <c r="E8" s="6" t="e">
        <f>D8-$D$8</f>
        <v>#DIV/0!</v>
      </c>
      <c r="O8" s="40" t="s">
        <v>24</v>
      </c>
      <c r="P8" s="40"/>
      <c r="Q8" s="40"/>
      <c r="R8" s="40"/>
      <c r="S8" s="40"/>
      <c r="T8" s="40"/>
      <c r="U8" s="40"/>
      <c r="V8" s="40"/>
      <c r="W8" s="40"/>
      <c r="X8" s="40"/>
    </row>
    <row r="9" spans="1:24" x14ac:dyDescent="0.25">
      <c r="A9" s="3">
        <v>2.5000000000000001E-2</v>
      </c>
      <c r="B9" s="4"/>
      <c r="C9" s="4"/>
      <c r="D9" s="5" t="e">
        <f t="shared" ref="D9:D15" si="0">AVERAGE(B9:C9)</f>
        <v>#DIV/0!</v>
      </c>
      <c r="E9" s="6" t="e">
        <f t="shared" ref="E9:E15" si="1">D9-$D$8</f>
        <v>#DIV/0!</v>
      </c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x14ac:dyDescent="0.25">
      <c r="A10" s="3">
        <v>0.05</v>
      </c>
      <c r="B10" s="4"/>
      <c r="C10" s="4"/>
      <c r="D10" s="5" t="e">
        <f t="shared" si="0"/>
        <v>#DIV/0!</v>
      </c>
      <c r="E10" s="6" t="e">
        <f t="shared" si="1"/>
        <v>#DIV/0!</v>
      </c>
      <c r="O10" s="41" t="s">
        <v>25</v>
      </c>
      <c r="P10" s="41"/>
      <c r="Q10" s="41"/>
      <c r="R10" s="41"/>
      <c r="S10" s="41"/>
      <c r="T10" s="41"/>
      <c r="U10" s="41"/>
      <c r="V10" s="41"/>
      <c r="W10" s="41"/>
      <c r="X10" s="41"/>
    </row>
    <row r="11" spans="1:24" x14ac:dyDescent="0.25">
      <c r="A11" s="3">
        <v>0.1</v>
      </c>
      <c r="B11" s="4"/>
      <c r="C11" s="4"/>
      <c r="D11" s="5" t="e">
        <f t="shared" si="0"/>
        <v>#DIV/0!</v>
      </c>
      <c r="E11" s="6" t="e">
        <f t="shared" si="1"/>
        <v>#DIV/0!</v>
      </c>
      <c r="O11" s="42" t="s">
        <v>7</v>
      </c>
      <c r="P11" s="35"/>
      <c r="Q11" s="35"/>
      <c r="R11" s="35"/>
      <c r="S11" s="35"/>
      <c r="T11" s="35"/>
      <c r="U11" s="35"/>
      <c r="V11" s="35"/>
      <c r="W11" s="35"/>
      <c r="X11" s="35"/>
    </row>
    <row r="12" spans="1:24" x14ac:dyDescent="0.25">
      <c r="A12" s="3">
        <v>0.2</v>
      </c>
      <c r="B12" s="4"/>
      <c r="C12" s="4"/>
      <c r="D12" s="5" t="e">
        <f t="shared" si="0"/>
        <v>#DIV/0!</v>
      </c>
      <c r="E12" s="6" t="e">
        <f t="shared" si="1"/>
        <v>#DIV/0!</v>
      </c>
      <c r="O12" s="35" t="s">
        <v>8</v>
      </c>
      <c r="P12" s="35"/>
      <c r="Q12" s="35"/>
      <c r="R12" s="35"/>
      <c r="S12" s="35"/>
      <c r="T12" s="35"/>
      <c r="U12" s="35"/>
      <c r="V12" s="35"/>
      <c r="W12" s="35"/>
      <c r="X12" s="35"/>
    </row>
    <row r="13" spans="1:24" x14ac:dyDescent="0.25">
      <c r="A13" s="3">
        <v>0.3</v>
      </c>
      <c r="B13" s="4"/>
      <c r="C13" s="4"/>
      <c r="D13" s="5" t="e">
        <f t="shared" si="0"/>
        <v>#DIV/0!</v>
      </c>
      <c r="E13" s="6" t="e">
        <f t="shared" si="1"/>
        <v>#DIV/0!</v>
      </c>
      <c r="O13" s="35" t="s">
        <v>9</v>
      </c>
      <c r="P13" s="35"/>
      <c r="Q13" s="35"/>
      <c r="R13" s="35"/>
      <c r="S13" s="35"/>
      <c r="T13" s="35"/>
      <c r="U13" s="35"/>
      <c r="V13" s="35"/>
      <c r="W13" s="35"/>
      <c r="X13" s="35"/>
    </row>
    <row r="14" spans="1:24" x14ac:dyDescent="0.25">
      <c r="A14" s="3">
        <v>0.4</v>
      </c>
      <c r="B14" s="4"/>
      <c r="C14" s="4"/>
      <c r="D14" s="5" t="e">
        <f t="shared" si="0"/>
        <v>#DIV/0!</v>
      </c>
      <c r="E14" s="6" t="e">
        <f t="shared" si="1"/>
        <v>#DIV/0!</v>
      </c>
      <c r="O14" s="35" t="s">
        <v>10</v>
      </c>
      <c r="P14" s="35"/>
      <c r="Q14" s="35"/>
      <c r="R14" s="35"/>
      <c r="S14" s="35"/>
      <c r="T14" s="35"/>
      <c r="U14" s="35"/>
      <c r="V14" s="35"/>
      <c r="W14" s="35"/>
      <c r="X14" s="35"/>
    </row>
    <row r="15" spans="1:24" x14ac:dyDescent="0.25">
      <c r="A15" s="3">
        <v>0.5</v>
      </c>
      <c r="B15" s="4"/>
      <c r="C15" s="4"/>
      <c r="D15" s="5" t="e">
        <f t="shared" si="0"/>
        <v>#DIV/0!</v>
      </c>
      <c r="E15" s="6" t="e">
        <f t="shared" si="1"/>
        <v>#DIV/0!</v>
      </c>
      <c r="O15" s="35" t="s">
        <v>11</v>
      </c>
      <c r="P15" s="35"/>
      <c r="Q15" s="35"/>
      <c r="R15" s="35"/>
      <c r="S15" s="35"/>
      <c r="T15" s="35"/>
      <c r="U15" s="35"/>
      <c r="V15" s="35"/>
      <c r="W15" s="35"/>
      <c r="X15" s="35"/>
    </row>
    <row r="16" spans="1:24" ht="15" customHeight="1" x14ac:dyDescent="0.25">
      <c r="A16" s="51" t="s">
        <v>12</v>
      </c>
      <c r="B16" s="51"/>
      <c r="C16" s="51"/>
      <c r="D16" s="51"/>
      <c r="E16" s="51"/>
      <c r="O16" s="35" t="s">
        <v>26</v>
      </c>
      <c r="P16" s="35"/>
      <c r="Q16" s="35"/>
      <c r="R16" s="35"/>
      <c r="S16" s="35"/>
      <c r="T16" s="35"/>
      <c r="U16" s="35"/>
      <c r="V16" s="35"/>
      <c r="W16" s="35"/>
      <c r="X16" s="35"/>
    </row>
    <row r="17" spans="1:24" x14ac:dyDescent="0.25">
      <c r="A17" s="51"/>
      <c r="B17" s="51"/>
      <c r="C17" s="51"/>
      <c r="D17" s="51"/>
      <c r="E17" s="51"/>
      <c r="O17" s="35" t="s">
        <v>13</v>
      </c>
      <c r="P17" s="35"/>
      <c r="Q17" s="35"/>
      <c r="R17" s="35"/>
      <c r="S17" s="35"/>
      <c r="T17" s="35"/>
      <c r="U17" s="35"/>
      <c r="V17" s="35"/>
      <c r="W17" s="35"/>
      <c r="X17" s="35"/>
    </row>
    <row r="18" spans="1:24" x14ac:dyDescent="0.25">
      <c r="A18" s="51"/>
      <c r="B18" s="51"/>
      <c r="C18" s="51"/>
      <c r="D18" s="51"/>
      <c r="E18" s="51"/>
      <c r="O18" s="35" t="s">
        <v>14</v>
      </c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16.5" x14ac:dyDescent="0.3">
      <c r="A19" s="51"/>
      <c r="B19" s="51"/>
      <c r="C19" s="51"/>
      <c r="D19" s="51"/>
      <c r="E19" s="51"/>
      <c r="O19" s="35" t="s">
        <v>31</v>
      </c>
      <c r="P19" s="35"/>
      <c r="Q19" s="35"/>
      <c r="R19" s="35"/>
      <c r="S19" s="35"/>
      <c r="T19" s="35"/>
      <c r="U19" s="35"/>
      <c r="V19" s="35"/>
      <c r="W19" s="35"/>
      <c r="X19" s="35"/>
    </row>
    <row r="20" spans="1:24" x14ac:dyDescent="0.25">
      <c r="A20" s="7"/>
      <c r="B20" s="28" t="s">
        <v>15</v>
      </c>
      <c r="C20" s="29" t="e">
        <f>SLOPE(E8:E15,A8:A15)</f>
        <v>#DIV/0!</v>
      </c>
      <c r="D20" s="30" t="s">
        <v>16</v>
      </c>
      <c r="E20" s="30" t="e">
        <f>INTERCEPT(E8:E15,A8:A15)</f>
        <v>#DIV/0!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</row>
    <row r="21" spans="1:24" x14ac:dyDescent="0.25"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4" ht="30" customHeight="1" x14ac:dyDescent="0.25">
      <c r="A22" s="8"/>
      <c r="B22" s="9"/>
      <c r="C22" s="52" t="s">
        <v>3</v>
      </c>
      <c r="D22" s="52"/>
      <c r="E22" s="52"/>
      <c r="F22" s="10" t="s">
        <v>4</v>
      </c>
      <c r="G22" s="32" t="s">
        <v>28</v>
      </c>
      <c r="H22" s="32" t="s">
        <v>32</v>
      </c>
      <c r="I22" s="32" t="s">
        <v>17</v>
      </c>
      <c r="J22" s="32" t="s">
        <v>18</v>
      </c>
      <c r="K22" s="55" t="s">
        <v>27</v>
      </c>
      <c r="L22" s="55"/>
      <c r="M22" s="12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spans="1:24" ht="15" customHeight="1" thickBot="1" x14ac:dyDescent="0.3">
      <c r="A23" s="27" t="s">
        <v>19</v>
      </c>
      <c r="B23" s="13" t="s">
        <v>20</v>
      </c>
      <c r="C23" s="14"/>
      <c r="D23" s="14"/>
      <c r="E23" s="14"/>
      <c r="F23" s="15" t="e">
        <f>AVERAGE(C23:E23)</f>
        <v>#DIV/0!</v>
      </c>
      <c r="G23" s="15" t="e">
        <f>F23-$D$8</f>
        <v>#DIV/0!</v>
      </c>
      <c r="H23" s="16"/>
      <c r="I23" s="25"/>
      <c r="J23" s="24"/>
      <c r="K23" s="57" t="e">
        <f>(G23-$E$20)/$C$20*H23*I23</f>
        <v>#DIV/0!</v>
      </c>
      <c r="L23" s="57"/>
    </row>
    <row r="24" spans="1:24" ht="15" customHeight="1" x14ac:dyDescent="0.25">
      <c r="A24" s="23" t="s">
        <v>21</v>
      </c>
      <c r="B24" s="13" t="s">
        <v>20</v>
      </c>
      <c r="C24" s="17"/>
      <c r="D24" s="17"/>
      <c r="E24" s="17"/>
      <c r="F24" s="18" t="e">
        <f>AVERAGE(C24:E24)</f>
        <v>#DIV/0!</v>
      </c>
      <c r="G24" s="16" t="e">
        <f>F24-$D$8</f>
        <v>#DIV/0!</v>
      </c>
      <c r="H24" s="34"/>
      <c r="I24" s="25"/>
      <c r="J24" s="26"/>
      <c r="K24" s="58" t="e">
        <f>(G24-$E$20)/$C$20/J24*I24</f>
        <v>#DIV/0!</v>
      </c>
      <c r="L24" s="59"/>
    </row>
    <row r="25" spans="1:24" x14ac:dyDescent="0.25">
      <c r="A25" s="19"/>
      <c r="B25" s="20"/>
      <c r="C25" s="20"/>
      <c r="D25" s="19"/>
      <c r="E25" s="19"/>
      <c r="F25" s="20"/>
      <c r="G25" s="21"/>
      <c r="H25" s="33"/>
      <c r="I25" s="19"/>
    </row>
    <row r="26" spans="1:24" x14ac:dyDescent="0.25">
      <c r="A26" s="19"/>
      <c r="B26" s="20"/>
      <c r="C26" s="20"/>
      <c r="D26" s="19"/>
      <c r="E26" s="19"/>
      <c r="F26" s="20"/>
      <c r="G26" s="20"/>
      <c r="H26" s="20"/>
      <c r="I26" s="19"/>
    </row>
    <row r="27" spans="1:24" x14ac:dyDescent="0.25">
      <c r="B27" s="31"/>
      <c r="C27" s="31"/>
      <c r="F27" s="31"/>
      <c r="G27" s="31"/>
      <c r="H27" s="31"/>
    </row>
    <row r="28" spans="1:24" x14ac:dyDescent="0.25">
      <c r="B28" s="31"/>
      <c r="C28" s="31"/>
      <c r="F28" s="31"/>
      <c r="G28" s="31"/>
      <c r="H28" s="31"/>
    </row>
    <row r="29" spans="1:24" x14ac:dyDescent="0.25">
      <c r="B29" s="31"/>
      <c r="C29" s="31"/>
      <c r="F29" s="31"/>
      <c r="G29" s="31"/>
      <c r="H29" s="31"/>
    </row>
    <row r="30" spans="1:24" x14ac:dyDescent="0.25">
      <c r="B30" s="31"/>
      <c r="C30" s="31"/>
      <c r="F30" s="31"/>
      <c r="G30" s="31"/>
      <c r="H30" s="31"/>
    </row>
    <row r="31" spans="1:24" x14ac:dyDescent="0.25">
      <c r="B31" s="31"/>
      <c r="C31" s="31"/>
      <c r="F31" s="31"/>
      <c r="G31" s="31"/>
      <c r="H31" s="31"/>
    </row>
    <row r="32" spans="1:24" x14ac:dyDescent="0.25">
      <c r="B32" s="31"/>
      <c r="C32" s="31"/>
      <c r="F32" s="31"/>
      <c r="G32" s="31"/>
      <c r="H32" s="31"/>
    </row>
    <row r="33" spans="2:8" x14ac:dyDescent="0.25">
      <c r="B33" s="31"/>
      <c r="C33" s="31"/>
      <c r="F33" s="31"/>
      <c r="G33" s="31"/>
      <c r="H33" s="31"/>
    </row>
  </sheetData>
  <mergeCells count="27">
    <mergeCell ref="K23:L23"/>
    <mergeCell ref="K24:L24"/>
    <mergeCell ref="A16:E19"/>
    <mergeCell ref="O17:X17"/>
    <mergeCell ref="O18:X18"/>
    <mergeCell ref="O19:X19"/>
    <mergeCell ref="C22:E22"/>
    <mergeCell ref="O20:X20"/>
    <mergeCell ref="O21:X21"/>
    <mergeCell ref="K22:L22"/>
    <mergeCell ref="O22:X22"/>
    <mergeCell ref="A5:E6"/>
    <mergeCell ref="B7:C7"/>
    <mergeCell ref="A1:L3"/>
    <mergeCell ref="O2:X2"/>
    <mergeCell ref="O3:X3"/>
    <mergeCell ref="O4:X5"/>
    <mergeCell ref="O6:X6"/>
    <mergeCell ref="O7:X7"/>
    <mergeCell ref="O8:X9"/>
    <mergeCell ref="O10:X10"/>
    <mergeCell ref="O11:X11"/>
    <mergeCell ref="O12:X12"/>
    <mergeCell ref="O13:X13"/>
    <mergeCell ref="O14:X14"/>
    <mergeCell ref="O15:X15"/>
    <mergeCell ref="O16:X16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O23" sqref="O23"/>
    </sheetView>
  </sheetViews>
  <sheetFormatPr defaultRowHeight="15" x14ac:dyDescent="0.25"/>
  <cols>
    <col min="1" max="1" width="12.875" style="1" customWidth="1"/>
    <col min="2" max="4" width="9" style="1"/>
    <col min="5" max="5" width="9.875" style="1" customWidth="1"/>
    <col min="6" max="6" width="11.875" style="1" customWidth="1"/>
    <col min="7" max="7" width="9.875" style="1" bestFit="1" customWidth="1"/>
    <col min="8" max="8" width="9.875" style="1" customWidth="1"/>
    <col min="9" max="16384" width="9" style="1"/>
  </cols>
  <sheetData>
    <row r="1" spans="1:24" x14ac:dyDescent="0.25">
      <c r="A1" s="45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24" ht="15.7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O2" s="46" t="s">
        <v>0</v>
      </c>
      <c r="P2" s="47"/>
      <c r="Q2" s="47"/>
      <c r="R2" s="47"/>
      <c r="S2" s="47"/>
      <c r="T2" s="47"/>
      <c r="U2" s="47"/>
      <c r="V2" s="47"/>
      <c r="W2" s="47"/>
      <c r="X2" s="47"/>
    </row>
    <row r="3" spans="1:24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O3" s="48" t="s">
        <v>1</v>
      </c>
      <c r="P3" s="49"/>
      <c r="Q3" s="49"/>
      <c r="R3" s="49"/>
      <c r="S3" s="49"/>
      <c r="T3" s="49"/>
      <c r="U3" s="49"/>
      <c r="V3" s="49"/>
      <c r="W3" s="49"/>
      <c r="X3" s="50"/>
    </row>
    <row r="4" spans="1:24" x14ac:dyDescent="0.25">
      <c r="O4" s="40" t="s">
        <v>23</v>
      </c>
      <c r="P4" s="40"/>
      <c r="Q4" s="40"/>
      <c r="R4" s="40"/>
      <c r="S4" s="40"/>
      <c r="T4" s="40"/>
      <c r="U4" s="40"/>
      <c r="V4" s="40"/>
      <c r="W4" s="40"/>
      <c r="X4" s="40"/>
    </row>
    <row r="5" spans="1:24" x14ac:dyDescent="0.25">
      <c r="A5" s="43" t="s">
        <v>2</v>
      </c>
      <c r="B5" s="43"/>
      <c r="C5" s="43"/>
      <c r="D5" s="43"/>
      <c r="E5" s="43"/>
      <c r="O5" s="40"/>
      <c r="P5" s="40"/>
      <c r="Q5" s="40"/>
      <c r="R5" s="40"/>
      <c r="S5" s="40"/>
      <c r="T5" s="40"/>
      <c r="U5" s="40"/>
      <c r="V5" s="40"/>
      <c r="W5" s="40"/>
      <c r="X5" s="40"/>
    </row>
    <row r="6" spans="1:24" ht="16.5" x14ac:dyDescent="0.3">
      <c r="A6" s="43"/>
      <c r="B6" s="43"/>
      <c r="C6" s="43"/>
      <c r="D6" s="43"/>
      <c r="E6" s="43"/>
      <c r="O6" s="36" t="s">
        <v>29</v>
      </c>
      <c r="P6" s="36"/>
      <c r="Q6" s="36"/>
      <c r="R6" s="36"/>
      <c r="S6" s="36"/>
      <c r="T6" s="36"/>
      <c r="U6" s="36"/>
      <c r="V6" s="36"/>
      <c r="W6" s="36"/>
      <c r="X6" s="36"/>
    </row>
    <row r="7" spans="1:24" ht="30" x14ac:dyDescent="0.25">
      <c r="A7" s="2" t="s">
        <v>30</v>
      </c>
      <c r="B7" s="44" t="s">
        <v>3</v>
      </c>
      <c r="C7" s="44"/>
      <c r="D7" s="2" t="s">
        <v>4</v>
      </c>
      <c r="E7" s="2" t="s">
        <v>5</v>
      </c>
      <c r="O7" s="37" t="s">
        <v>6</v>
      </c>
      <c r="P7" s="38"/>
      <c r="Q7" s="38"/>
      <c r="R7" s="38"/>
      <c r="S7" s="38"/>
      <c r="T7" s="38"/>
      <c r="U7" s="38"/>
      <c r="V7" s="38"/>
      <c r="W7" s="38"/>
      <c r="X7" s="39"/>
    </row>
    <row r="8" spans="1:24" x14ac:dyDescent="0.25">
      <c r="A8" s="3">
        <v>0</v>
      </c>
      <c r="B8" s="4">
        <v>5.2999999999999999E-2</v>
      </c>
      <c r="C8" s="4">
        <v>5.5E-2</v>
      </c>
      <c r="D8" s="5">
        <f>AVERAGE(B8:C8)</f>
        <v>5.3999999999999999E-2</v>
      </c>
      <c r="E8" s="6">
        <f>D8-$D$8</f>
        <v>0</v>
      </c>
      <c r="O8" s="40" t="s">
        <v>24</v>
      </c>
      <c r="P8" s="40"/>
      <c r="Q8" s="40"/>
      <c r="R8" s="40"/>
      <c r="S8" s="40"/>
      <c r="T8" s="40"/>
      <c r="U8" s="40"/>
      <c r="V8" s="40"/>
      <c r="W8" s="40"/>
      <c r="X8" s="40"/>
    </row>
    <row r="9" spans="1:24" x14ac:dyDescent="0.25">
      <c r="A9" s="3">
        <v>2.5000000000000001E-2</v>
      </c>
      <c r="B9" s="4">
        <v>0.13500000000000001</v>
      </c>
      <c r="C9" s="4">
        <v>0.13500000000000001</v>
      </c>
      <c r="D9" s="5">
        <f t="shared" ref="D9:D15" si="0">AVERAGE(B9:C9)</f>
        <v>0.13500000000000001</v>
      </c>
      <c r="E9" s="6">
        <f t="shared" ref="E9:E15" si="1">D9-$D$8</f>
        <v>8.1000000000000016E-2</v>
      </c>
      <c r="O9" s="40"/>
      <c r="P9" s="40"/>
      <c r="Q9" s="40"/>
      <c r="R9" s="40"/>
      <c r="S9" s="40"/>
      <c r="T9" s="40"/>
      <c r="U9" s="40"/>
      <c r="V9" s="40"/>
      <c r="W9" s="40"/>
      <c r="X9" s="40"/>
    </row>
    <row r="10" spans="1:24" x14ac:dyDescent="0.25">
      <c r="A10" s="3">
        <v>0.05</v>
      </c>
      <c r="B10" s="4">
        <v>0.214</v>
      </c>
      <c r="C10" s="4">
        <v>0.21299999999999999</v>
      </c>
      <c r="D10" s="5">
        <f t="shared" si="0"/>
        <v>0.2135</v>
      </c>
      <c r="E10" s="6">
        <f t="shared" si="1"/>
        <v>0.1595</v>
      </c>
      <c r="O10" s="41" t="s">
        <v>25</v>
      </c>
      <c r="P10" s="41"/>
      <c r="Q10" s="41"/>
      <c r="R10" s="41"/>
      <c r="S10" s="41"/>
      <c r="T10" s="41"/>
      <c r="U10" s="41"/>
      <c r="V10" s="41"/>
      <c r="W10" s="41"/>
      <c r="X10" s="41"/>
    </row>
    <row r="11" spans="1:24" x14ac:dyDescent="0.25">
      <c r="A11" s="3">
        <v>0.1</v>
      </c>
      <c r="B11" s="4">
        <v>0.37</v>
      </c>
      <c r="C11" s="4">
        <v>0.373</v>
      </c>
      <c r="D11" s="5">
        <f t="shared" si="0"/>
        <v>0.3715</v>
      </c>
      <c r="E11" s="6">
        <f t="shared" si="1"/>
        <v>0.3175</v>
      </c>
      <c r="O11" s="42" t="s">
        <v>7</v>
      </c>
      <c r="P11" s="35"/>
      <c r="Q11" s="35"/>
      <c r="R11" s="35"/>
      <c r="S11" s="35"/>
      <c r="T11" s="35"/>
      <c r="U11" s="35"/>
      <c r="V11" s="35"/>
      <c r="W11" s="35"/>
      <c r="X11" s="35"/>
    </row>
    <row r="12" spans="1:24" x14ac:dyDescent="0.25">
      <c r="A12" s="3">
        <v>0.2</v>
      </c>
      <c r="B12" s="4">
        <v>0.66500000000000004</v>
      </c>
      <c r="C12" s="4">
        <v>0.66400000000000003</v>
      </c>
      <c r="D12" s="5">
        <f t="shared" si="0"/>
        <v>0.66450000000000009</v>
      </c>
      <c r="E12" s="6">
        <f t="shared" si="1"/>
        <v>0.61050000000000004</v>
      </c>
      <c r="O12" s="35" t="s">
        <v>8</v>
      </c>
      <c r="P12" s="35"/>
      <c r="Q12" s="35"/>
      <c r="R12" s="35"/>
      <c r="S12" s="35"/>
      <c r="T12" s="35"/>
      <c r="U12" s="35"/>
      <c r="V12" s="35"/>
      <c r="W12" s="35"/>
      <c r="X12" s="35"/>
    </row>
    <row r="13" spans="1:24" x14ac:dyDescent="0.25">
      <c r="A13" s="3">
        <v>0.3</v>
      </c>
      <c r="B13" s="4">
        <v>0.96399999999999997</v>
      </c>
      <c r="C13" s="4">
        <v>0.96599999999999997</v>
      </c>
      <c r="D13" s="5">
        <f t="shared" si="0"/>
        <v>0.96499999999999997</v>
      </c>
      <c r="E13" s="6">
        <f t="shared" si="1"/>
        <v>0.91099999999999992</v>
      </c>
      <c r="O13" s="35" t="s">
        <v>9</v>
      </c>
      <c r="P13" s="35"/>
      <c r="Q13" s="35"/>
      <c r="R13" s="35"/>
      <c r="S13" s="35"/>
      <c r="T13" s="35"/>
      <c r="U13" s="35"/>
      <c r="V13" s="35"/>
      <c r="W13" s="35"/>
      <c r="X13" s="35"/>
    </row>
    <row r="14" spans="1:24" x14ac:dyDescent="0.25">
      <c r="A14" s="3">
        <v>0.4</v>
      </c>
      <c r="B14" s="4">
        <v>1.2629999999999999</v>
      </c>
      <c r="C14" s="4">
        <v>1.264</v>
      </c>
      <c r="D14" s="5">
        <f t="shared" si="0"/>
        <v>1.2635000000000001</v>
      </c>
      <c r="E14" s="6">
        <f t="shared" si="1"/>
        <v>1.2095</v>
      </c>
      <c r="O14" s="35" t="s">
        <v>10</v>
      </c>
      <c r="P14" s="35"/>
      <c r="Q14" s="35"/>
      <c r="R14" s="35"/>
      <c r="S14" s="35"/>
      <c r="T14" s="35"/>
      <c r="U14" s="35"/>
      <c r="V14" s="35"/>
      <c r="W14" s="35"/>
      <c r="X14" s="35"/>
    </row>
    <row r="15" spans="1:24" x14ac:dyDescent="0.25">
      <c r="A15" s="3">
        <v>0.5</v>
      </c>
      <c r="B15" s="4">
        <v>1.56</v>
      </c>
      <c r="C15" s="4">
        <v>1.5640000000000001</v>
      </c>
      <c r="D15" s="5">
        <f t="shared" si="0"/>
        <v>1.5620000000000001</v>
      </c>
      <c r="E15" s="6">
        <f t="shared" si="1"/>
        <v>1.508</v>
      </c>
      <c r="O15" s="35" t="s">
        <v>11</v>
      </c>
      <c r="P15" s="35"/>
      <c r="Q15" s="35"/>
      <c r="R15" s="35"/>
      <c r="S15" s="35"/>
      <c r="T15" s="35"/>
      <c r="U15" s="35"/>
      <c r="V15" s="35"/>
      <c r="W15" s="35"/>
      <c r="X15" s="35"/>
    </row>
    <row r="16" spans="1:24" ht="15" customHeight="1" x14ac:dyDescent="0.25">
      <c r="A16" s="51" t="s">
        <v>12</v>
      </c>
      <c r="B16" s="51"/>
      <c r="C16" s="51"/>
      <c r="D16" s="51"/>
      <c r="E16" s="51"/>
      <c r="O16" s="35" t="s">
        <v>26</v>
      </c>
      <c r="P16" s="35"/>
      <c r="Q16" s="35"/>
      <c r="R16" s="35"/>
      <c r="S16" s="35"/>
      <c r="T16" s="35"/>
      <c r="U16" s="35"/>
      <c r="V16" s="35"/>
      <c r="W16" s="35"/>
      <c r="X16" s="35"/>
    </row>
    <row r="17" spans="1:24" x14ac:dyDescent="0.25">
      <c r="A17" s="51"/>
      <c r="B17" s="51"/>
      <c r="C17" s="51"/>
      <c r="D17" s="51"/>
      <c r="E17" s="51"/>
      <c r="O17" s="35" t="s">
        <v>13</v>
      </c>
      <c r="P17" s="35"/>
      <c r="Q17" s="35"/>
      <c r="R17" s="35"/>
      <c r="S17" s="35"/>
      <c r="T17" s="35"/>
      <c r="U17" s="35"/>
      <c r="V17" s="35"/>
      <c r="W17" s="35"/>
      <c r="X17" s="35"/>
    </row>
    <row r="18" spans="1:24" x14ac:dyDescent="0.25">
      <c r="A18" s="51"/>
      <c r="B18" s="51"/>
      <c r="C18" s="51"/>
      <c r="D18" s="51"/>
      <c r="E18" s="51"/>
      <c r="O18" s="35" t="s">
        <v>14</v>
      </c>
      <c r="P18" s="35"/>
      <c r="Q18" s="35"/>
      <c r="R18" s="35"/>
      <c r="S18" s="35"/>
      <c r="T18" s="35"/>
      <c r="U18" s="35"/>
      <c r="V18" s="35"/>
      <c r="W18" s="35"/>
      <c r="X18" s="35"/>
    </row>
    <row r="19" spans="1:24" ht="16.5" x14ac:dyDescent="0.3">
      <c r="A19" s="51"/>
      <c r="B19" s="51"/>
      <c r="C19" s="51"/>
      <c r="D19" s="51"/>
      <c r="E19" s="51"/>
      <c r="O19" s="35" t="s">
        <v>31</v>
      </c>
      <c r="P19" s="35"/>
      <c r="Q19" s="35"/>
      <c r="R19" s="35"/>
      <c r="S19" s="35"/>
      <c r="T19" s="35"/>
      <c r="U19" s="35"/>
      <c r="V19" s="35"/>
      <c r="W19" s="35"/>
      <c r="X19" s="35"/>
    </row>
    <row r="20" spans="1:24" x14ac:dyDescent="0.25">
      <c r="A20" s="7"/>
      <c r="B20" s="28" t="s">
        <v>15</v>
      </c>
      <c r="C20" s="29">
        <f>SLOPE(E8:E15,A8:A15)</f>
        <v>3.0057602057216326</v>
      </c>
      <c r="D20" s="30" t="s">
        <v>16</v>
      </c>
      <c r="E20" s="30">
        <f>INTERCEPT(E8:E15,A8:A15)</f>
        <v>7.8659594985535097E-3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</row>
    <row r="21" spans="1:24" x14ac:dyDescent="0.25"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4" ht="30" customHeight="1" x14ac:dyDescent="0.25">
      <c r="A22" s="8"/>
      <c r="B22" s="9"/>
      <c r="C22" s="60" t="s">
        <v>3</v>
      </c>
      <c r="D22" s="52"/>
      <c r="E22" s="52"/>
      <c r="F22" s="10" t="s">
        <v>4</v>
      </c>
      <c r="G22" s="11" t="s">
        <v>28</v>
      </c>
      <c r="H22" s="32" t="s">
        <v>32</v>
      </c>
      <c r="I22" s="11" t="s">
        <v>17</v>
      </c>
      <c r="J22" s="11" t="s">
        <v>18</v>
      </c>
      <c r="K22" s="55" t="s">
        <v>27</v>
      </c>
      <c r="L22" s="55"/>
      <c r="M22" s="12"/>
      <c r="O22" s="56"/>
      <c r="P22" s="56"/>
      <c r="Q22" s="56"/>
      <c r="R22" s="56"/>
      <c r="S22" s="56"/>
      <c r="T22" s="56"/>
      <c r="U22" s="56"/>
      <c r="V22" s="56"/>
      <c r="W22" s="56"/>
      <c r="X22" s="56"/>
    </row>
    <row r="23" spans="1:24" ht="15" customHeight="1" thickBot="1" x14ac:dyDescent="0.3">
      <c r="A23" s="27" t="s">
        <v>19</v>
      </c>
      <c r="B23" s="13" t="s">
        <v>20</v>
      </c>
      <c r="C23" s="14">
        <v>0.24</v>
      </c>
      <c r="D23" s="14">
        <v>0.26400000000000001</v>
      </c>
      <c r="E23" s="14">
        <v>0.252</v>
      </c>
      <c r="F23" s="15">
        <f>AVERAGE(C23:E23)</f>
        <v>0.252</v>
      </c>
      <c r="G23" s="15">
        <f>F23-$D$8</f>
        <v>0.19800000000000001</v>
      </c>
      <c r="H23" s="16">
        <v>100</v>
      </c>
      <c r="I23" s="25">
        <v>1</v>
      </c>
      <c r="J23" s="24"/>
      <c r="K23" s="57">
        <f>(G23-$E$20)/$C$20*H23*I23</f>
        <v>6.325655657411251</v>
      </c>
      <c r="L23" s="57"/>
    </row>
    <row r="24" spans="1:24" ht="15" customHeight="1" x14ac:dyDescent="0.25">
      <c r="A24" s="23" t="s">
        <v>21</v>
      </c>
      <c r="B24" s="13" t="s">
        <v>22</v>
      </c>
      <c r="C24" s="17">
        <v>0.23499999999999999</v>
      </c>
      <c r="D24" s="17">
        <v>0.24099999999999999</v>
      </c>
      <c r="E24" s="17">
        <v>0.22</v>
      </c>
      <c r="F24" s="18">
        <f>AVERAGE(C24:E24)</f>
        <v>0.23199999999999998</v>
      </c>
      <c r="G24" s="16">
        <f>F24-$D$8</f>
        <v>0.17799999999999999</v>
      </c>
      <c r="H24" s="34"/>
      <c r="I24" s="25">
        <v>1</v>
      </c>
      <c r="J24" s="26">
        <v>4.0000000000000001E-3</v>
      </c>
      <c r="K24" s="58">
        <f>(G24-$E$20)/$C$20/J24*I24</f>
        <v>14.150666458487509</v>
      </c>
      <c r="L24" s="59"/>
    </row>
    <row r="25" spans="1:24" x14ac:dyDescent="0.25">
      <c r="A25" s="19"/>
      <c r="B25" s="20"/>
      <c r="C25" s="20"/>
      <c r="D25" s="19"/>
      <c r="E25" s="19"/>
      <c r="F25" s="20"/>
      <c r="G25" s="21"/>
      <c r="H25" s="33"/>
      <c r="I25" s="19"/>
    </row>
    <row r="26" spans="1:24" x14ac:dyDescent="0.25">
      <c r="A26" s="19"/>
      <c r="B26" s="20"/>
      <c r="C26" s="20"/>
      <c r="D26" s="19"/>
      <c r="E26" s="19"/>
      <c r="F26" s="20"/>
      <c r="G26" s="20"/>
      <c r="H26" s="20"/>
      <c r="I26" s="19"/>
    </row>
    <row r="27" spans="1:24" x14ac:dyDescent="0.25">
      <c r="B27" s="22"/>
      <c r="C27" s="22"/>
      <c r="F27" s="22"/>
      <c r="G27" s="22"/>
      <c r="H27" s="31"/>
    </row>
    <row r="28" spans="1:24" x14ac:dyDescent="0.25">
      <c r="B28" s="22"/>
      <c r="C28" s="22"/>
      <c r="F28" s="22"/>
      <c r="G28" s="22"/>
      <c r="H28" s="31"/>
    </row>
    <row r="29" spans="1:24" x14ac:dyDescent="0.25">
      <c r="B29" s="22"/>
      <c r="C29" s="22"/>
      <c r="F29" s="22"/>
      <c r="G29" s="22"/>
      <c r="H29" s="31"/>
    </row>
    <row r="30" spans="1:24" x14ac:dyDescent="0.25">
      <c r="B30" s="22"/>
      <c r="C30" s="22"/>
      <c r="F30" s="22"/>
      <c r="G30" s="22"/>
      <c r="H30" s="31"/>
    </row>
    <row r="31" spans="1:24" x14ac:dyDescent="0.25">
      <c r="B31" s="22"/>
      <c r="C31" s="22"/>
      <c r="F31" s="22"/>
      <c r="G31" s="22"/>
      <c r="H31" s="31"/>
    </row>
    <row r="32" spans="1:24" x14ac:dyDescent="0.25">
      <c r="B32" s="22"/>
      <c r="C32" s="22"/>
      <c r="F32" s="22"/>
      <c r="G32" s="22"/>
      <c r="H32" s="31"/>
    </row>
    <row r="33" spans="2:8" x14ac:dyDescent="0.25">
      <c r="B33" s="22"/>
      <c r="C33" s="22"/>
      <c r="F33" s="22"/>
      <c r="G33" s="22"/>
      <c r="H33" s="31"/>
    </row>
  </sheetData>
  <mergeCells count="27">
    <mergeCell ref="K24:L24"/>
    <mergeCell ref="O20:X20"/>
    <mergeCell ref="O21:X21"/>
    <mergeCell ref="C22:E22"/>
    <mergeCell ref="K22:L22"/>
    <mergeCell ref="O22:X22"/>
    <mergeCell ref="K23:L23"/>
    <mergeCell ref="O13:X13"/>
    <mergeCell ref="O14:X14"/>
    <mergeCell ref="O15:X15"/>
    <mergeCell ref="A16:E19"/>
    <mergeCell ref="O16:X16"/>
    <mergeCell ref="O17:X17"/>
    <mergeCell ref="O18:X18"/>
    <mergeCell ref="O19:X19"/>
    <mergeCell ref="O12:X12"/>
    <mergeCell ref="A1:L3"/>
    <mergeCell ref="O2:X2"/>
    <mergeCell ref="O3:X3"/>
    <mergeCell ref="O4:X5"/>
    <mergeCell ref="A5:E6"/>
    <mergeCell ref="O6:X6"/>
    <mergeCell ref="B7:C7"/>
    <mergeCell ref="O7:X7"/>
    <mergeCell ref="O8:X9"/>
    <mergeCell ref="O10:X10"/>
    <mergeCell ref="O11:X11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EBC294555603E4DA293C2389DA9DDAF" ma:contentTypeVersion="5" ma:contentTypeDescription="新建文档。" ma:contentTypeScope="" ma:versionID="2d17cd5cdc6c42e5abba7b6149345179">
  <xsd:schema xmlns:xsd="http://www.w3.org/2001/XMLSchema" xmlns:xs="http://www.w3.org/2001/XMLSchema" xmlns:p="http://schemas.microsoft.com/office/2006/metadata/properties" xmlns:ns2="ce576e1c-9a92-4a0e-8446-d89470922fce" xmlns:ns3="cbf2210f-1759-4589-8834-8c588a8e1d04" targetNamespace="http://schemas.microsoft.com/office/2006/metadata/properties" ma:root="true" ma:fieldsID="da1de7b53261a666671159fe50c58d62" ns2:_="" ns3:_="">
    <xsd:import namespace="ce576e1c-9a92-4a0e-8446-d89470922fce"/>
    <xsd:import namespace="cbf2210f-1759-4589-8834-8c588a8e1d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76e1c-9a92-4a0e-8446-d89470922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2210f-1759-4589-8834-8c588a8e1d0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29925C-3989-4DB1-8BE7-CB81B1E0E32C}"/>
</file>

<file path=customXml/itemProps2.xml><?xml version="1.0" encoding="utf-8"?>
<ds:datastoreItem xmlns:ds="http://schemas.openxmlformats.org/officeDocument/2006/customXml" ds:itemID="{BA230357-3B15-431B-8CAF-4862CE463E97}"/>
</file>

<file path=customXml/itemProps3.xml><?xml version="1.0" encoding="utf-8"?>
<ds:datastoreItem xmlns:ds="http://schemas.openxmlformats.org/officeDocument/2006/customXml" ds:itemID="{9B0ED0B0-99D4-4C84-80F0-60D906BFD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ALP</vt:lpstr>
      <vt:lpstr>Example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2023-08-11T09:07:38Z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0x0101009EBC294555603E4DA293C2389DA9DDAF</vt:lpwstr>
  </property>
</Properties>
</file>