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12"/>
  <workbookPr filterPrivacy="1" defaultThemeVersion="124226"/>
  <xr:revisionPtr revIDLastSave="3" documentId="11_FBE9B21C8C118AAA9BBC3654B218A28F75032C50" xr6:coauthVersionLast="47" xr6:coauthVersionMax="47" xr10:uidLastSave="{3344EA85-3547-4358-BB21-B2A571640487}"/>
  <bookViews>
    <workbookView xWindow="240" yWindow="105" windowWidth="14805" windowHeight="8010" firstSheet="1" xr2:uid="{00000000-000D-0000-FFFF-FFFF00000000}"/>
  </bookViews>
  <sheets>
    <sheet name="ALT" sheetId="1" r:id="rId1"/>
    <sheet name="Example analysi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G23" i="1" s="1"/>
  <c r="F22" i="1"/>
  <c r="F21" i="1"/>
  <c r="C13" i="1"/>
  <c r="C12" i="1"/>
  <c r="C11" i="1"/>
  <c r="C10" i="1"/>
  <c r="C9" i="1"/>
  <c r="C8" i="1"/>
  <c r="D8" i="1" s="1"/>
  <c r="F8" i="1" s="1"/>
  <c r="G21" i="1" l="1"/>
  <c r="D12" i="1"/>
  <c r="F12" i="1" s="1"/>
  <c r="G12" i="1" s="1"/>
  <c r="D11" i="1"/>
  <c r="F11" i="1" s="1"/>
  <c r="G11" i="1" s="1"/>
  <c r="D9" i="1"/>
  <c r="F9" i="1" s="1"/>
  <c r="G9" i="1" s="1"/>
  <c r="D13" i="1"/>
  <c r="F13" i="1" s="1"/>
  <c r="G13" i="1" s="1"/>
  <c r="D10" i="1"/>
  <c r="F10" i="1" s="1"/>
  <c r="G10" i="1" s="1"/>
  <c r="G8" i="1"/>
  <c r="B18" i="1" l="1"/>
  <c r="D18" i="1"/>
  <c r="F18" i="1"/>
  <c r="J23" i="1" l="1"/>
  <c r="J21" i="1"/>
  <c r="C9" i="2" l="1"/>
  <c r="C10" i="2"/>
  <c r="C11" i="2"/>
  <c r="C12" i="2"/>
  <c r="C13" i="2"/>
  <c r="C8" i="2"/>
  <c r="D8" i="2" s="1"/>
  <c r="F8" i="2" s="1"/>
  <c r="G8" i="2" l="1"/>
  <c r="D10" i="2"/>
  <c r="F10" i="2" s="1"/>
  <c r="G10" i="2" s="1"/>
  <c r="D9" i="2"/>
  <c r="F9" i="2" s="1"/>
  <c r="D12" i="2"/>
  <c r="F12" i="2" s="1"/>
  <c r="G12" i="2" s="1"/>
  <c r="D11" i="2"/>
  <c r="F11" i="2" s="1"/>
  <c r="G11" i="2" s="1"/>
  <c r="D13" i="2"/>
  <c r="F13" i="2" s="1"/>
  <c r="G13" i="2" s="1"/>
  <c r="G9" i="2" l="1"/>
  <c r="F18" i="2"/>
  <c r="B18" i="2"/>
  <c r="D18" i="2"/>
  <c r="F24" i="2"/>
  <c r="F23" i="2"/>
  <c r="F22" i="2"/>
  <c r="F21" i="2"/>
  <c r="G21" i="2" s="1"/>
  <c r="J21" i="2" s="1"/>
  <c r="G23" i="2" l="1"/>
  <c r="J23" i="2" s="1"/>
</calcChain>
</file>

<file path=xl/sharedStrings.xml><?xml version="1.0" encoding="utf-8"?>
<sst xmlns="http://schemas.openxmlformats.org/spreadsheetml/2006/main" count="72" uniqueCount="32">
  <si>
    <t>EEA001</t>
    <phoneticPr fontId="2" type="noConversion"/>
  </si>
  <si>
    <t>Calculation</t>
    <phoneticPr fontId="2" type="noConversion"/>
  </si>
  <si>
    <t>1.Serum/plasma sample:</t>
    <phoneticPr fontId="2" type="noConversion"/>
  </si>
  <si>
    <r>
      <t>ALT/GPT activity (IU/L)=[a×(OD</t>
    </r>
    <r>
      <rPr>
        <vertAlign val="subscript"/>
        <sz val="11"/>
        <color theme="1"/>
        <rFont val="Times New Roman"/>
        <family val="1"/>
      </rPr>
      <t>sample</t>
    </r>
    <r>
      <rPr>
        <sz val="11"/>
        <color theme="1"/>
        <rFont val="Times New Roman"/>
        <family val="1"/>
      </rPr>
      <t>-OD</t>
    </r>
    <r>
      <rPr>
        <vertAlign val="subscript"/>
        <sz val="11"/>
        <color theme="1"/>
        <rFont val="Times New Roman"/>
        <family val="1"/>
      </rPr>
      <t>control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+b×(OD</t>
    </r>
    <r>
      <rPr>
        <vertAlign val="subscript"/>
        <sz val="11"/>
        <color theme="1"/>
        <rFont val="Times New Roman"/>
        <family val="1"/>
      </rPr>
      <t>sample</t>
    </r>
    <r>
      <rPr>
        <sz val="11"/>
        <color theme="1"/>
        <rFont val="Times New Roman"/>
        <family val="1"/>
      </rPr>
      <t>-OD</t>
    </r>
    <r>
      <rPr>
        <vertAlign val="subscript"/>
        <sz val="11"/>
        <color theme="1"/>
        <rFont val="Times New Roman"/>
        <family val="1"/>
      </rPr>
      <t>control</t>
    </r>
    <r>
      <rPr>
        <sz val="11"/>
        <color theme="1"/>
        <rFont val="Times New Roman"/>
        <family val="1"/>
      </rPr>
      <t>)+c]×0.482 IU/L×f</t>
    </r>
    <phoneticPr fontId="2" type="noConversion"/>
  </si>
  <si>
    <t>Standard curve</t>
    <phoneticPr fontId="2" type="noConversion"/>
  </si>
  <si>
    <t>2.Tissue and cells sample:</t>
    <phoneticPr fontId="2" type="noConversion"/>
  </si>
  <si>
    <r>
      <t>ALT/GPT activity (IU/gprot)=[a×(OD</t>
    </r>
    <r>
      <rPr>
        <vertAlign val="subscript"/>
        <sz val="11"/>
        <color theme="1"/>
        <rFont val="Times New Roman"/>
        <family val="1"/>
      </rPr>
      <t>sample</t>
    </r>
    <r>
      <rPr>
        <sz val="11"/>
        <color theme="1"/>
        <rFont val="Times New Roman"/>
        <family val="1"/>
      </rPr>
      <t>-OD</t>
    </r>
    <r>
      <rPr>
        <vertAlign val="subscript"/>
        <sz val="11"/>
        <color theme="1"/>
        <rFont val="Times New Roman"/>
        <family val="1"/>
      </rPr>
      <t>control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+b×(OD</t>
    </r>
    <r>
      <rPr>
        <vertAlign val="subscript"/>
        <sz val="11"/>
        <color theme="1"/>
        <rFont val="Times New Roman"/>
        <family val="1"/>
      </rPr>
      <t>sample</t>
    </r>
    <r>
      <rPr>
        <sz val="11"/>
        <color theme="1"/>
        <rFont val="Times New Roman"/>
        <family val="1"/>
      </rPr>
      <t>-OD</t>
    </r>
    <r>
      <rPr>
        <vertAlign val="subscript"/>
        <sz val="11"/>
        <color theme="1"/>
        <rFont val="Times New Roman"/>
        <family val="1"/>
      </rPr>
      <t>control</t>
    </r>
    <r>
      <rPr>
        <sz val="11"/>
        <color theme="1"/>
        <rFont val="Times New Roman"/>
        <family val="1"/>
      </rPr>
      <t xml:space="preserve">)+c]×0.482 IU/L
×f÷Cpr
</t>
    </r>
    <phoneticPr fontId="2" type="noConversion"/>
  </si>
  <si>
    <t>OD Value</t>
    <phoneticPr fontId="2" type="noConversion"/>
  </si>
  <si>
    <t>Average OD</t>
    <phoneticPr fontId="2" type="noConversion"/>
  </si>
  <si>
    <t>Absoluted OD</t>
    <phoneticPr fontId="2" type="noConversion"/>
  </si>
  <si>
    <t>Carmen unit</t>
    <phoneticPr fontId="2" type="noConversion"/>
  </si>
  <si>
    <t>x</t>
    <phoneticPr fontId="2" type="noConversion"/>
  </si>
  <si>
    <t>x2</t>
    <phoneticPr fontId="2" type="noConversion"/>
  </si>
  <si>
    <r>
      <rPr>
        <b/>
        <sz val="11"/>
        <color theme="1"/>
        <rFont val="Times New Roman"/>
        <family val="1"/>
      </rPr>
      <t>[Note]</t>
    </r>
    <r>
      <rPr>
        <b/>
        <sz val="11"/>
        <color theme="1"/>
        <rFont val="宋体"/>
        <family val="3"/>
        <charset val="134"/>
      </rPr>
      <t>：</t>
    </r>
    <phoneticPr fontId="2" type="noConversion"/>
  </si>
  <si>
    <t>y: Carmen unit.</t>
    <phoneticPr fontId="2" type="noConversion"/>
  </si>
  <si>
    <r>
      <t>x: OD</t>
    </r>
    <r>
      <rPr>
        <vertAlign val="subscript"/>
        <sz val="11"/>
        <color theme="1"/>
        <rFont val="Times New Roman"/>
        <family val="1"/>
      </rPr>
      <t>Standard</t>
    </r>
    <r>
      <rPr>
        <sz val="11"/>
        <color theme="1"/>
        <rFont val="Times New Roman"/>
        <family val="1"/>
      </rPr>
      <t xml:space="preserve"> – OD</t>
    </r>
    <r>
      <rPr>
        <vertAlign val="subscript"/>
        <sz val="11"/>
        <color theme="1"/>
        <rFont val="Times New Roman"/>
        <family val="1"/>
      </rPr>
      <t>Blank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 xml:space="preserve"> OD</t>
    </r>
    <r>
      <rPr>
        <vertAlign val="subscript"/>
        <sz val="11"/>
        <color theme="1"/>
        <rFont val="Times New Roman"/>
        <family val="1"/>
      </rPr>
      <t xml:space="preserve">Blank </t>
    </r>
    <r>
      <rPr>
        <sz val="11"/>
        <color theme="1"/>
        <rFont val="Times New Roman"/>
        <family val="1"/>
      </rPr>
      <t>is the OD value when the carmen unit is 0</t>
    </r>
    <r>
      <rPr>
        <sz val="11"/>
        <color theme="1"/>
        <rFont val="宋体"/>
        <family val="3"/>
        <charset val="134"/>
      </rPr>
      <t>）</t>
    </r>
    <phoneticPr fontId="2" type="noConversion"/>
  </si>
  <si>
    <t>a, b, c: the constant of standard curve.</t>
    <phoneticPr fontId="2" type="noConversion"/>
  </si>
  <si>
    <r>
      <rPr>
        <sz val="11"/>
        <color theme="1"/>
        <rFont val="宋体"/>
        <family val="3"/>
        <charset val="134"/>
      </rPr>
      <t>△</t>
    </r>
    <r>
      <rPr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510</t>
    </r>
    <r>
      <rPr>
        <sz val="11"/>
        <color theme="1"/>
        <rFont val="Times New Roman"/>
        <family val="1"/>
      </rPr>
      <t>: ODsample-ODcontrol</t>
    </r>
    <phoneticPr fontId="2" type="noConversion"/>
  </si>
  <si>
    <t>f: Dilution factor of sample before tested.</t>
    <phoneticPr fontId="2" type="noConversion"/>
  </si>
  <si>
    <t>Cpr: Concentration of protein in sample (gprot/L)</t>
    <phoneticPr fontId="2" type="noConversion"/>
  </si>
  <si>
    <r>
      <t>Plot the standard curve by using OD value of standard and correspondent Carmen unit (0, 28, 57, 97, 150, 200 Carmen unit) as x-axis and y-axis respectively.The standard curve is y=ax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+bx+c</t>
    </r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</si>
  <si>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</si>
  <si>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</si>
  <si>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</si>
  <si>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r>
      <rPr>
        <sz val="11"/>
        <color theme="1"/>
        <rFont val="宋体"/>
        <family val="3"/>
        <charset val="134"/>
      </rPr>
      <t>△</t>
    </r>
    <r>
      <rPr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510</t>
    </r>
    <phoneticPr fontId="2" type="noConversion"/>
  </si>
  <si>
    <t>f</t>
    <phoneticPr fontId="2" type="noConversion"/>
  </si>
  <si>
    <t>Cpr</t>
    <phoneticPr fontId="2" type="noConversion"/>
  </si>
  <si>
    <t>ALT/GPT activity              (IU/L or IU/gprot)</t>
    <phoneticPr fontId="2" type="noConversion"/>
  </si>
  <si>
    <t>Serum (plasma) sample</t>
    <phoneticPr fontId="2" type="noConversion"/>
  </si>
  <si>
    <t>ODSample</t>
    <phoneticPr fontId="2" type="noConversion"/>
  </si>
  <si>
    <t>ODControl</t>
    <phoneticPr fontId="2" type="noConversion"/>
  </si>
  <si>
    <t>Tissue and cells sample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</si>
</sst>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宋体"/>
      <family val="2"/>
      <scheme val="minor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vertAlign val="superscript"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left"/>
    </xf>
    <xf numFmtId="164" fontId="3" fillId="0" borderId="7" xfId="0" applyNumberFormat="1" applyFont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1" borderId="0" xfId="0" applyFont="1" applyFill="1"/>
    <xf numFmtId="164" fontId="3" fillId="0" borderId="4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/>
    <xf numFmtId="164" fontId="9" fillId="0" borderId="0" xfId="0" applyNumberFormat="1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164" fontId="9" fillId="0" borderId="7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center"/>
    </xf>
    <xf numFmtId="164" fontId="9" fillId="0" borderId="12" xfId="0" applyNumberFormat="1" applyFont="1" applyBorder="1" applyAlignment="1">
      <alignment horizontal="left" vertical="center"/>
    </xf>
    <xf numFmtId="164" fontId="9" fillId="0" borderId="13" xfId="0" applyNumberFormat="1" applyFont="1" applyBorder="1" applyAlignment="1">
      <alignment horizontal="left" vertical="center"/>
    </xf>
    <xf numFmtId="164" fontId="9" fillId="0" borderId="14" xfId="0" applyNumberFormat="1" applyFont="1" applyBorder="1" applyAlignment="1">
      <alignment horizontal="left" vertical="center"/>
    </xf>
    <xf numFmtId="164" fontId="9" fillId="0" borderId="6" xfId="0" applyNumberFormat="1" applyFont="1" applyBorder="1" applyAlignment="1">
      <alignment horizontal="left" vertical="center"/>
    </xf>
    <xf numFmtId="0" fontId="4" fillId="0" borderId="1" xfId="0" applyFont="1" applyBorder="1" applyAlignment="1"/>
    <xf numFmtId="0" fontId="3" fillId="0" borderId="1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2429790026246719"/>
                  <c:y val="-1.55624817731116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ALT!$D$8:$D$13</c:f>
              <c:numCache>
                <c:formatCode>0.000</c:formatCode>
                <c:ptCount val="6"/>
                <c:pt idx="0">
                  <c:v>0</c:v>
                </c:pt>
                <c:pt idx="1">
                  <c:v>8.500000000000002E-2</c:v>
                </c:pt>
                <c:pt idx="2">
                  <c:v>0.14750000000000002</c:v>
                </c:pt>
                <c:pt idx="3">
                  <c:v>0.20450000000000002</c:v>
                </c:pt>
                <c:pt idx="4">
                  <c:v>0.25899999999999995</c:v>
                </c:pt>
                <c:pt idx="5">
                  <c:v>0.30850000000000005</c:v>
                </c:pt>
              </c:numCache>
            </c:numRef>
          </c:xVal>
          <c:yVal>
            <c:numRef>
              <c:f>ALT!$E$8:$E$13</c:f>
              <c:numCache>
                <c:formatCode>General</c:formatCode>
                <c:ptCount val="6"/>
                <c:pt idx="0">
                  <c:v>0</c:v>
                </c:pt>
                <c:pt idx="1">
                  <c:v>28</c:v>
                </c:pt>
                <c:pt idx="2">
                  <c:v>57</c:v>
                </c:pt>
                <c:pt idx="3">
                  <c:v>97</c:v>
                </c:pt>
                <c:pt idx="4">
                  <c:v>150</c:v>
                </c:pt>
                <c:pt idx="5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8-4498-A249-2EEF549B4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953264"/>
        <c:axId val="981950912"/>
      </c:scatterChart>
      <c:valAx>
        <c:axId val="98195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50912"/>
        <c:crosses val="autoZero"/>
        <c:crossBetween val="midCat"/>
      </c:valAx>
      <c:valAx>
        <c:axId val="9819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5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analysis'!$D$8:$D$13</c:f>
              <c:numCache>
                <c:formatCode>0.000</c:formatCode>
                <c:ptCount val="6"/>
                <c:pt idx="0">
                  <c:v>0</c:v>
                </c:pt>
                <c:pt idx="1">
                  <c:v>8.500000000000002E-2</c:v>
                </c:pt>
                <c:pt idx="2">
                  <c:v>0.14750000000000002</c:v>
                </c:pt>
                <c:pt idx="3">
                  <c:v>0.20450000000000002</c:v>
                </c:pt>
                <c:pt idx="4">
                  <c:v>0.25899999999999995</c:v>
                </c:pt>
                <c:pt idx="5">
                  <c:v>0.30850000000000005</c:v>
                </c:pt>
              </c:numCache>
            </c:numRef>
          </c:xVal>
          <c:yVal>
            <c:numRef>
              <c:f>'Example analysis'!$E$8:$E$13</c:f>
              <c:numCache>
                <c:formatCode>General</c:formatCode>
                <c:ptCount val="6"/>
                <c:pt idx="0">
                  <c:v>0</c:v>
                </c:pt>
                <c:pt idx="1">
                  <c:v>28</c:v>
                </c:pt>
                <c:pt idx="2">
                  <c:v>57</c:v>
                </c:pt>
                <c:pt idx="3">
                  <c:v>97</c:v>
                </c:pt>
                <c:pt idx="4">
                  <c:v>150</c:v>
                </c:pt>
                <c:pt idx="5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8F-4679-ADEA-51ED8B82B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041728"/>
        <c:axId val="715042904"/>
      </c:scatterChart>
      <c:valAx>
        <c:axId val="71504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42904"/>
        <c:crosses val="autoZero"/>
        <c:crossBetween val="midCat"/>
      </c:valAx>
      <c:valAx>
        <c:axId val="71504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4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100012</xdr:rowOff>
    </xdr:from>
    <xdr:to>
      <xdr:col>12</xdr:col>
      <xdr:colOff>38100</xdr:colOff>
      <xdr:row>16</xdr:row>
      <xdr:rowOff>52387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3</xdr:row>
      <xdr:rowOff>14287</xdr:rowOff>
    </xdr:from>
    <xdr:to>
      <xdr:col>12</xdr:col>
      <xdr:colOff>400050</xdr:colOff>
      <xdr:row>16</xdr:row>
      <xdr:rowOff>90487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topLeftCell="A9" workbookViewId="0">
      <selection activeCell="H23" sqref="H23:H24"/>
    </sheetView>
  </sheetViews>
  <sheetFormatPr defaultRowHeight="13.5"/>
  <cols>
    <col min="5" max="5" width="9.875" customWidth="1"/>
  </cols>
  <sheetData>
    <row r="1" spans="1:23" ht="15.7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1"/>
    </row>
    <row r="2" spans="1:23" ht="15.7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21"/>
      <c r="N2" s="33" t="s">
        <v>1</v>
      </c>
      <c r="O2" s="34"/>
      <c r="P2" s="34"/>
      <c r="Q2" s="34"/>
      <c r="R2" s="34"/>
      <c r="S2" s="34"/>
      <c r="T2" s="34"/>
      <c r="U2" s="34"/>
      <c r="V2" s="34"/>
      <c r="W2" s="34"/>
    </row>
    <row r="3" spans="1:23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21"/>
      <c r="N3" s="35" t="s">
        <v>2</v>
      </c>
      <c r="O3" s="36"/>
      <c r="P3" s="36"/>
      <c r="Q3" s="36"/>
      <c r="R3" s="36"/>
      <c r="S3" s="36"/>
      <c r="T3" s="36"/>
      <c r="U3" s="36"/>
      <c r="V3" s="36"/>
      <c r="W3" s="37"/>
    </row>
    <row r="4" spans="1:23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N4" s="38" t="s">
        <v>3</v>
      </c>
      <c r="O4" s="38"/>
      <c r="P4" s="38"/>
      <c r="Q4" s="38"/>
      <c r="R4" s="38"/>
      <c r="S4" s="38"/>
      <c r="T4" s="38"/>
      <c r="U4" s="38"/>
      <c r="V4" s="38"/>
      <c r="W4" s="38"/>
    </row>
    <row r="5" spans="1:23" ht="15">
      <c r="A5" s="39" t="s">
        <v>4</v>
      </c>
      <c r="B5" s="39"/>
      <c r="C5" s="39"/>
      <c r="D5" s="39"/>
      <c r="E5" s="39"/>
      <c r="F5" s="1"/>
      <c r="G5" s="1"/>
      <c r="H5" s="1"/>
      <c r="I5" s="1"/>
      <c r="J5" s="1"/>
      <c r="K5" s="1"/>
      <c r="L5" s="1"/>
      <c r="N5" s="35" t="s">
        <v>5</v>
      </c>
      <c r="O5" s="36"/>
      <c r="P5" s="36"/>
      <c r="Q5" s="36"/>
      <c r="R5" s="36"/>
      <c r="S5" s="36"/>
      <c r="T5" s="36"/>
      <c r="U5" s="36"/>
      <c r="V5" s="36"/>
      <c r="W5" s="37"/>
    </row>
    <row r="6" spans="1:23" ht="18">
      <c r="A6" s="39"/>
      <c r="B6" s="39"/>
      <c r="C6" s="39"/>
      <c r="D6" s="39"/>
      <c r="E6" s="39"/>
      <c r="F6" s="1"/>
      <c r="G6" s="1"/>
      <c r="H6" s="1"/>
      <c r="I6" s="1"/>
      <c r="J6" s="1"/>
      <c r="K6" s="1"/>
      <c r="L6" s="1"/>
      <c r="N6" s="40" t="s">
        <v>6</v>
      </c>
      <c r="O6" s="40"/>
      <c r="P6" s="40"/>
      <c r="Q6" s="40"/>
      <c r="R6" s="40"/>
      <c r="S6" s="40"/>
      <c r="T6" s="40"/>
      <c r="U6" s="40"/>
      <c r="V6" s="40"/>
      <c r="W6" s="40"/>
    </row>
    <row r="7" spans="1:23" ht="30">
      <c r="A7" s="41" t="s">
        <v>7</v>
      </c>
      <c r="B7" s="41"/>
      <c r="C7" s="2" t="s">
        <v>8</v>
      </c>
      <c r="D7" s="2" t="s">
        <v>9</v>
      </c>
      <c r="E7" s="2" t="s">
        <v>10</v>
      </c>
      <c r="F7" s="1" t="s">
        <v>11</v>
      </c>
      <c r="G7" s="1" t="s">
        <v>12</v>
      </c>
      <c r="H7" s="1"/>
      <c r="I7" s="1"/>
      <c r="J7" s="1"/>
      <c r="K7" s="1"/>
      <c r="L7" s="1"/>
      <c r="N7" s="59" t="s">
        <v>13</v>
      </c>
      <c r="O7" s="60"/>
      <c r="P7" s="60"/>
      <c r="Q7" s="60"/>
      <c r="R7" s="60"/>
      <c r="S7" s="60"/>
      <c r="T7" s="60"/>
      <c r="U7" s="60"/>
      <c r="V7" s="60"/>
      <c r="W7" s="60"/>
    </row>
    <row r="8" spans="1:23" ht="15">
      <c r="A8" s="3">
        <v>0.248</v>
      </c>
      <c r="B8" s="4">
        <v>0.25900000000000001</v>
      </c>
      <c r="C8" s="15">
        <f>AVERAGE(A8:B8)</f>
        <v>0.2535</v>
      </c>
      <c r="D8" s="26">
        <f>C8-$C$8</f>
        <v>0</v>
      </c>
      <c r="E8" s="5">
        <v>0</v>
      </c>
      <c r="F8" s="30">
        <f>D8</f>
        <v>0</v>
      </c>
      <c r="G8" s="30">
        <f>F8^2</f>
        <v>0</v>
      </c>
      <c r="H8" s="1"/>
      <c r="I8" s="1"/>
      <c r="J8" s="1"/>
      <c r="K8" s="1"/>
      <c r="L8" s="1"/>
      <c r="N8" s="60" t="s">
        <v>14</v>
      </c>
      <c r="O8" s="60"/>
      <c r="P8" s="60"/>
      <c r="Q8" s="60"/>
      <c r="R8" s="60"/>
      <c r="S8" s="60"/>
      <c r="T8" s="60"/>
      <c r="U8" s="60"/>
      <c r="V8" s="60"/>
      <c r="W8" s="60"/>
    </row>
    <row r="9" spans="1:23" ht="16.5">
      <c r="A9" s="3">
        <v>0.33900000000000002</v>
      </c>
      <c r="B9" s="4">
        <v>0.33800000000000002</v>
      </c>
      <c r="C9" s="15">
        <f t="shared" ref="C9:C13" si="0">AVERAGE(A9:B9)</f>
        <v>0.33850000000000002</v>
      </c>
      <c r="D9" s="26">
        <f t="shared" ref="D9:D13" si="1">C9-$C$8</f>
        <v>8.500000000000002E-2</v>
      </c>
      <c r="E9" s="5">
        <v>28</v>
      </c>
      <c r="F9" s="30">
        <f t="shared" ref="F9:F13" si="2">D9</f>
        <v>8.500000000000002E-2</v>
      </c>
      <c r="G9" s="30">
        <f t="shared" ref="G9:G13" si="3">F9^2</f>
        <v>7.2250000000000031E-3</v>
      </c>
      <c r="H9" s="1"/>
      <c r="I9" s="1"/>
      <c r="J9" s="1"/>
      <c r="K9" s="1"/>
      <c r="L9" s="1"/>
      <c r="N9" s="60" t="s">
        <v>15</v>
      </c>
      <c r="O9" s="60"/>
      <c r="P9" s="60"/>
      <c r="Q9" s="60"/>
      <c r="R9" s="60"/>
      <c r="S9" s="60"/>
      <c r="T9" s="60"/>
      <c r="U9" s="60"/>
      <c r="V9" s="60"/>
      <c r="W9" s="60"/>
    </row>
    <row r="10" spans="1:23" ht="15">
      <c r="A10" s="3">
        <v>0.4</v>
      </c>
      <c r="B10" s="4">
        <v>0.40200000000000002</v>
      </c>
      <c r="C10" s="15">
        <f t="shared" si="0"/>
        <v>0.40100000000000002</v>
      </c>
      <c r="D10" s="26">
        <f t="shared" si="1"/>
        <v>0.14750000000000002</v>
      </c>
      <c r="E10" s="5">
        <v>57</v>
      </c>
      <c r="F10" s="30">
        <f t="shared" si="2"/>
        <v>0.14750000000000002</v>
      </c>
      <c r="G10" s="30">
        <f t="shared" si="3"/>
        <v>2.1756250000000005E-2</v>
      </c>
      <c r="H10" s="1"/>
      <c r="I10" s="1"/>
      <c r="J10" s="1"/>
      <c r="K10" s="1"/>
      <c r="L10" s="1"/>
      <c r="N10" s="60" t="s">
        <v>16</v>
      </c>
      <c r="O10" s="60"/>
      <c r="P10" s="60"/>
      <c r="Q10" s="60"/>
      <c r="R10" s="60"/>
      <c r="S10" s="60"/>
      <c r="T10" s="60"/>
      <c r="U10" s="60"/>
      <c r="V10" s="60"/>
      <c r="W10" s="60"/>
    </row>
    <row r="11" spans="1:23" ht="16.5">
      <c r="A11" s="3">
        <v>0.46</v>
      </c>
      <c r="B11" s="4">
        <v>0.45600000000000002</v>
      </c>
      <c r="C11" s="15">
        <f t="shared" si="0"/>
        <v>0.45800000000000002</v>
      </c>
      <c r="D11" s="26">
        <f t="shared" si="1"/>
        <v>0.20450000000000002</v>
      </c>
      <c r="E11" s="5">
        <v>97</v>
      </c>
      <c r="F11" s="30">
        <f t="shared" si="2"/>
        <v>0.20450000000000002</v>
      </c>
      <c r="G11" s="30">
        <f t="shared" si="3"/>
        <v>4.1820250000000003E-2</v>
      </c>
      <c r="H11" s="1"/>
      <c r="I11" s="1"/>
      <c r="J11" s="1"/>
      <c r="K11" s="1"/>
      <c r="L11" s="1"/>
      <c r="N11" s="60" t="s">
        <v>17</v>
      </c>
      <c r="O11" s="60"/>
      <c r="P11" s="60"/>
      <c r="Q11" s="60"/>
      <c r="R11" s="60"/>
      <c r="S11" s="60"/>
      <c r="T11" s="60"/>
      <c r="U11" s="60"/>
      <c r="V11" s="60"/>
      <c r="W11" s="60"/>
    </row>
    <row r="12" spans="1:23" ht="15">
      <c r="A12" s="3">
        <v>0.51600000000000001</v>
      </c>
      <c r="B12" s="4">
        <v>0.50900000000000001</v>
      </c>
      <c r="C12" s="15">
        <f t="shared" si="0"/>
        <v>0.51249999999999996</v>
      </c>
      <c r="D12" s="26">
        <f t="shared" si="1"/>
        <v>0.25899999999999995</v>
      </c>
      <c r="E12" s="5">
        <v>150</v>
      </c>
      <c r="F12" s="30">
        <f t="shared" si="2"/>
        <v>0.25899999999999995</v>
      </c>
      <c r="G12" s="30">
        <f t="shared" si="3"/>
        <v>6.7080999999999974E-2</v>
      </c>
      <c r="H12" s="1"/>
      <c r="I12" s="1"/>
      <c r="J12" s="1"/>
      <c r="K12" s="1"/>
      <c r="L12" s="1"/>
      <c r="N12" s="60" t="s">
        <v>18</v>
      </c>
      <c r="O12" s="60"/>
      <c r="P12" s="60"/>
      <c r="Q12" s="60"/>
      <c r="R12" s="60"/>
      <c r="S12" s="60"/>
      <c r="T12" s="60"/>
      <c r="U12" s="60"/>
      <c r="V12" s="60"/>
      <c r="W12" s="60"/>
    </row>
    <row r="13" spans="1:23" ht="15">
      <c r="A13" s="3">
        <v>0.56100000000000005</v>
      </c>
      <c r="B13" s="4">
        <v>0.56299999999999994</v>
      </c>
      <c r="C13" s="15">
        <f t="shared" si="0"/>
        <v>0.56200000000000006</v>
      </c>
      <c r="D13" s="26">
        <f t="shared" si="1"/>
        <v>0.30850000000000005</v>
      </c>
      <c r="E13" s="5">
        <v>200</v>
      </c>
      <c r="F13" s="30">
        <f t="shared" si="2"/>
        <v>0.30850000000000005</v>
      </c>
      <c r="G13" s="30">
        <f t="shared" si="3"/>
        <v>9.5172250000000028E-2</v>
      </c>
      <c r="H13" s="1"/>
      <c r="I13" s="1"/>
      <c r="J13" s="1"/>
      <c r="K13" s="1"/>
      <c r="L13" s="1"/>
      <c r="N13" s="60" t="s">
        <v>19</v>
      </c>
      <c r="O13" s="60"/>
      <c r="P13" s="60"/>
      <c r="Q13" s="60"/>
      <c r="R13" s="60"/>
      <c r="S13" s="60"/>
      <c r="T13" s="60"/>
      <c r="U13" s="60"/>
      <c r="V13" s="60"/>
      <c r="W13" s="60"/>
    </row>
    <row r="14" spans="1:23" ht="15">
      <c r="A14" s="49" t="s">
        <v>20</v>
      </c>
      <c r="B14" s="49"/>
      <c r="C14" s="49"/>
      <c r="D14" s="49"/>
      <c r="E14" s="49"/>
      <c r="F14" s="1"/>
      <c r="G14" s="1"/>
      <c r="H14" s="1"/>
      <c r="I14" s="1"/>
      <c r="J14" s="1"/>
      <c r="K14" s="1"/>
      <c r="L14" s="1"/>
    </row>
    <row r="15" spans="1:23" ht="15">
      <c r="A15" s="49"/>
      <c r="B15" s="49"/>
      <c r="C15" s="49"/>
      <c r="D15" s="49"/>
      <c r="E15" s="49"/>
      <c r="F15" s="1"/>
      <c r="G15" s="1"/>
      <c r="H15" s="1"/>
      <c r="I15" s="1"/>
      <c r="J15" s="1"/>
      <c r="K15" s="1"/>
      <c r="L15" s="1"/>
    </row>
    <row r="16" spans="1:23" ht="15">
      <c r="A16" s="49"/>
      <c r="B16" s="49"/>
      <c r="C16" s="49"/>
      <c r="D16" s="49"/>
      <c r="E16" s="49"/>
      <c r="F16" s="1"/>
      <c r="G16" s="1"/>
      <c r="H16" s="1"/>
      <c r="I16" s="1"/>
      <c r="J16" s="1"/>
      <c r="K16" s="1"/>
      <c r="L16" s="1"/>
    </row>
    <row r="17" spans="1:12" ht="15">
      <c r="A17" s="49"/>
      <c r="B17" s="49"/>
      <c r="C17" s="49"/>
      <c r="D17" s="49"/>
      <c r="E17" s="49"/>
      <c r="F17" s="1"/>
      <c r="G17" s="1"/>
      <c r="H17" s="1"/>
      <c r="I17" s="1"/>
      <c r="J17" s="1"/>
      <c r="K17" s="1"/>
      <c r="L17" s="1"/>
    </row>
    <row r="18" spans="1:12" ht="15">
      <c r="A18" s="22" t="s">
        <v>21</v>
      </c>
      <c r="B18" s="22">
        <f>INDEX(LINEST(E8:E13,F8:G13),1,1)</f>
        <v>1599.3709786135234</v>
      </c>
      <c r="C18" s="23" t="s">
        <v>22</v>
      </c>
      <c r="D18" s="23">
        <f>INDEX(LINEST(E8:E13,F8:G13),1,2)</f>
        <v>153.69601886558701</v>
      </c>
      <c r="E18" s="24" t="s">
        <v>23</v>
      </c>
      <c r="F18" s="25">
        <f>INDEX(LINEST(E8:E13,F8:G13),1,3)</f>
        <v>0.81189091191463092</v>
      </c>
      <c r="G18" s="1"/>
      <c r="H18" s="1"/>
      <c r="I18" s="1"/>
      <c r="J18" s="1"/>
      <c r="K18" s="1"/>
      <c r="L18" s="1"/>
    </row>
    <row r="19" spans="1:12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30">
      <c r="A20" s="6"/>
      <c r="B20" s="7"/>
      <c r="C20" s="50" t="s">
        <v>7</v>
      </c>
      <c r="D20" s="50"/>
      <c r="E20" s="50"/>
      <c r="F20" s="8" t="s">
        <v>8</v>
      </c>
      <c r="G20" s="9" t="s">
        <v>24</v>
      </c>
      <c r="H20" s="9" t="s">
        <v>25</v>
      </c>
      <c r="I20" s="28" t="s">
        <v>26</v>
      </c>
      <c r="J20" s="50" t="s">
        <v>27</v>
      </c>
      <c r="K20" s="50"/>
      <c r="L20" s="29"/>
    </row>
    <row r="21" spans="1:12" ht="15">
      <c r="A21" s="42" t="s">
        <v>28</v>
      </c>
      <c r="B21" s="10" t="s">
        <v>29</v>
      </c>
      <c r="C21" s="11">
        <v>0.247</v>
      </c>
      <c r="D21" s="11">
        <v>0.252</v>
      </c>
      <c r="E21" s="11">
        <v>0.249</v>
      </c>
      <c r="F21" s="12">
        <f>AVERAGE(C21:E21)</f>
        <v>0.24933333333333332</v>
      </c>
      <c r="G21" s="43">
        <f>F21-F22</f>
        <v>1.4000000000000012E-2</v>
      </c>
      <c r="H21" s="44">
        <v>1</v>
      </c>
      <c r="I21" s="45"/>
      <c r="J21" s="47">
        <f>(B18*G21*G21+D18*G21+F18)*0.482*H21</f>
        <v>1.5795679299394112</v>
      </c>
      <c r="K21" s="47"/>
      <c r="L21" s="31"/>
    </row>
    <row r="22" spans="1:12" ht="15.75" thickBot="1">
      <c r="A22" s="42"/>
      <c r="B22" s="13" t="s">
        <v>30</v>
      </c>
      <c r="C22" s="14">
        <v>0.23300000000000001</v>
      </c>
      <c r="D22" s="14">
        <v>0.23499999999999999</v>
      </c>
      <c r="E22" s="14">
        <v>0.23799999999999999</v>
      </c>
      <c r="F22" s="15">
        <f>AVERAGE(C22:E22)</f>
        <v>0.23533333333333331</v>
      </c>
      <c r="G22" s="43"/>
      <c r="H22" s="44"/>
      <c r="I22" s="46"/>
      <c r="J22" s="48"/>
      <c r="K22" s="48"/>
      <c r="L22" s="27"/>
    </row>
    <row r="23" spans="1:12" ht="15">
      <c r="A23" s="42" t="s">
        <v>31</v>
      </c>
      <c r="B23" s="10" t="s">
        <v>29</v>
      </c>
      <c r="C23" s="16"/>
      <c r="D23" s="16"/>
      <c r="E23" s="16"/>
      <c r="F23" s="17" t="e">
        <f>AVERAGE(C23:E23)</f>
        <v>#DIV/0!</v>
      </c>
      <c r="G23" s="43" t="e">
        <f>F23-F24</f>
        <v>#DIV/0!</v>
      </c>
      <c r="H23" s="51"/>
      <c r="I23" s="53"/>
      <c r="J23" s="55" t="e">
        <f>(B18*G23*G23+D18*G23+F18)*0.482*H23/I23</f>
        <v>#DIV/0!</v>
      </c>
      <c r="K23" s="56"/>
      <c r="L23" s="27"/>
    </row>
    <row r="24" spans="1:12" ht="15">
      <c r="A24" s="42"/>
      <c r="B24" s="18" t="s">
        <v>30</v>
      </c>
      <c r="C24" s="19"/>
      <c r="D24" s="19"/>
      <c r="E24" s="19"/>
      <c r="F24" s="20" t="e">
        <f>AVERAGE(C24:E24)</f>
        <v>#DIV/0!</v>
      </c>
      <c r="G24" s="43"/>
      <c r="H24" s="52"/>
      <c r="I24" s="54"/>
      <c r="J24" s="57"/>
      <c r="K24" s="58"/>
      <c r="L24" s="27"/>
    </row>
  </sheetData>
  <mergeCells count="28">
    <mergeCell ref="A23:A24"/>
    <mergeCell ref="G23:G24"/>
    <mergeCell ref="H23:H24"/>
    <mergeCell ref="I23:I24"/>
    <mergeCell ref="J23:K24"/>
    <mergeCell ref="N12:W12"/>
    <mergeCell ref="N13:W13"/>
    <mergeCell ref="A14:E17"/>
    <mergeCell ref="C20:E20"/>
    <mergeCell ref="J20:K20"/>
    <mergeCell ref="A21:A22"/>
    <mergeCell ref="G21:G22"/>
    <mergeCell ref="H21:H22"/>
    <mergeCell ref="I21:I22"/>
    <mergeCell ref="J21:K22"/>
    <mergeCell ref="N11:W11"/>
    <mergeCell ref="A1:K3"/>
    <mergeCell ref="N2:W2"/>
    <mergeCell ref="N3:W3"/>
    <mergeCell ref="N4:W4"/>
    <mergeCell ref="A5:E6"/>
    <mergeCell ref="N5:W5"/>
    <mergeCell ref="N6:W6"/>
    <mergeCell ref="A7:B7"/>
    <mergeCell ref="N7:W7"/>
    <mergeCell ref="N8:W8"/>
    <mergeCell ref="N9:W9"/>
    <mergeCell ref="N10:W1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"/>
  <sheetViews>
    <sheetView topLeftCell="A10" zoomScaleNormal="100" workbookViewId="0">
      <selection activeCell="C21" sqref="C21:E22"/>
    </sheetView>
  </sheetViews>
  <sheetFormatPr defaultRowHeight="13.5"/>
  <cols>
    <col min="5" max="5" width="9.875" customWidth="1"/>
  </cols>
  <sheetData>
    <row r="1" spans="1:23" ht="15.7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1"/>
    </row>
    <row r="2" spans="1:23" ht="15.7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21"/>
      <c r="N2" s="33" t="s">
        <v>1</v>
      </c>
      <c r="O2" s="34"/>
      <c r="P2" s="34"/>
      <c r="Q2" s="34"/>
      <c r="R2" s="34"/>
      <c r="S2" s="34"/>
      <c r="T2" s="34"/>
      <c r="U2" s="34"/>
      <c r="V2" s="34"/>
      <c r="W2" s="34"/>
    </row>
    <row r="3" spans="1:23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21"/>
      <c r="N3" s="35" t="s">
        <v>2</v>
      </c>
      <c r="O3" s="36"/>
      <c r="P3" s="36"/>
      <c r="Q3" s="36"/>
      <c r="R3" s="36"/>
      <c r="S3" s="36"/>
      <c r="T3" s="36"/>
      <c r="U3" s="36"/>
      <c r="V3" s="36"/>
      <c r="W3" s="37"/>
    </row>
    <row r="4" spans="1:23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N4" s="38" t="s">
        <v>3</v>
      </c>
      <c r="O4" s="38"/>
      <c r="P4" s="38"/>
      <c r="Q4" s="38"/>
      <c r="R4" s="38"/>
      <c r="S4" s="38"/>
      <c r="T4" s="38"/>
      <c r="U4" s="38"/>
      <c r="V4" s="38"/>
      <c r="W4" s="38"/>
    </row>
    <row r="5" spans="1:23" ht="15">
      <c r="A5" s="39" t="s">
        <v>4</v>
      </c>
      <c r="B5" s="39"/>
      <c r="C5" s="39"/>
      <c r="D5" s="39"/>
      <c r="E5" s="39"/>
      <c r="F5" s="1"/>
      <c r="G5" s="1"/>
      <c r="H5" s="1"/>
      <c r="I5" s="1"/>
      <c r="J5" s="1"/>
      <c r="K5" s="1"/>
      <c r="L5" s="1"/>
      <c r="N5" s="35" t="s">
        <v>5</v>
      </c>
      <c r="O5" s="36"/>
      <c r="P5" s="36"/>
      <c r="Q5" s="36"/>
      <c r="R5" s="36"/>
      <c r="S5" s="36"/>
      <c r="T5" s="36"/>
      <c r="U5" s="36"/>
      <c r="V5" s="36"/>
      <c r="W5" s="37"/>
    </row>
    <row r="6" spans="1:23" ht="18">
      <c r="A6" s="39"/>
      <c r="B6" s="39"/>
      <c r="C6" s="39"/>
      <c r="D6" s="39"/>
      <c r="E6" s="39"/>
      <c r="F6" s="1"/>
      <c r="G6" s="1"/>
      <c r="H6" s="1"/>
      <c r="I6" s="1"/>
      <c r="J6" s="1"/>
      <c r="K6" s="1"/>
      <c r="L6" s="1"/>
      <c r="N6" s="40" t="s">
        <v>6</v>
      </c>
      <c r="O6" s="40"/>
      <c r="P6" s="40"/>
      <c r="Q6" s="40"/>
      <c r="R6" s="40"/>
      <c r="S6" s="40"/>
      <c r="T6" s="40"/>
      <c r="U6" s="40"/>
      <c r="V6" s="40"/>
      <c r="W6" s="40"/>
    </row>
    <row r="7" spans="1:23" ht="30">
      <c r="A7" s="41" t="s">
        <v>7</v>
      </c>
      <c r="B7" s="41"/>
      <c r="C7" s="2" t="s">
        <v>8</v>
      </c>
      <c r="D7" s="2" t="s">
        <v>9</v>
      </c>
      <c r="E7" s="2" t="s">
        <v>10</v>
      </c>
      <c r="F7" s="1" t="s">
        <v>11</v>
      </c>
      <c r="G7" s="1" t="s">
        <v>12</v>
      </c>
      <c r="H7" s="1"/>
      <c r="I7" s="1"/>
      <c r="J7" s="1"/>
      <c r="K7" s="1"/>
      <c r="L7" s="1"/>
      <c r="N7" s="59" t="s">
        <v>13</v>
      </c>
      <c r="O7" s="60"/>
      <c r="P7" s="60"/>
      <c r="Q7" s="60"/>
      <c r="R7" s="60"/>
      <c r="S7" s="60"/>
      <c r="T7" s="60"/>
      <c r="U7" s="60"/>
      <c r="V7" s="60"/>
      <c r="W7" s="60"/>
    </row>
    <row r="8" spans="1:23" ht="15">
      <c r="A8" s="3">
        <v>0.248</v>
      </c>
      <c r="B8" s="4">
        <v>0.25900000000000001</v>
      </c>
      <c r="C8" s="15">
        <f>AVERAGE(A8:B8)</f>
        <v>0.2535</v>
      </c>
      <c r="D8" s="26">
        <f>C8-$C$8</f>
        <v>0</v>
      </c>
      <c r="E8" s="5">
        <v>0</v>
      </c>
      <c r="F8" s="30">
        <f>D8</f>
        <v>0</v>
      </c>
      <c r="G8" s="30">
        <f>F8^2</f>
        <v>0</v>
      </c>
      <c r="H8" s="1"/>
      <c r="I8" s="1"/>
      <c r="J8" s="1"/>
      <c r="K8" s="1"/>
      <c r="L8" s="1"/>
      <c r="N8" s="60" t="s">
        <v>14</v>
      </c>
      <c r="O8" s="60"/>
      <c r="P8" s="60"/>
      <c r="Q8" s="60"/>
      <c r="R8" s="60"/>
      <c r="S8" s="60"/>
      <c r="T8" s="60"/>
      <c r="U8" s="60"/>
      <c r="V8" s="60"/>
      <c r="W8" s="60"/>
    </row>
    <row r="9" spans="1:23" ht="16.5">
      <c r="A9" s="3">
        <v>0.33900000000000002</v>
      </c>
      <c r="B9" s="4">
        <v>0.33800000000000002</v>
      </c>
      <c r="C9" s="15">
        <f t="shared" ref="C9:C13" si="0">AVERAGE(A9:B9)</f>
        <v>0.33850000000000002</v>
      </c>
      <c r="D9" s="26">
        <f t="shared" ref="D9:D13" si="1">C9-$C$8</f>
        <v>8.500000000000002E-2</v>
      </c>
      <c r="E9" s="5">
        <v>28</v>
      </c>
      <c r="F9" s="30">
        <f t="shared" ref="F9:F13" si="2">D9</f>
        <v>8.500000000000002E-2</v>
      </c>
      <c r="G9" s="30">
        <f t="shared" ref="G9:G13" si="3">F9^2</f>
        <v>7.2250000000000031E-3</v>
      </c>
      <c r="H9" s="1"/>
      <c r="I9" s="1"/>
      <c r="J9" s="1"/>
      <c r="K9" s="1"/>
      <c r="L9" s="1"/>
      <c r="N9" s="60" t="s">
        <v>15</v>
      </c>
      <c r="O9" s="60"/>
      <c r="P9" s="60"/>
      <c r="Q9" s="60"/>
      <c r="R9" s="60"/>
      <c r="S9" s="60"/>
      <c r="T9" s="60"/>
      <c r="U9" s="60"/>
      <c r="V9" s="60"/>
      <c r="W9" s="60"/>
    </row>
    <row r="10" spans="1:23" ht="15">
      <c r="A10" s="3">
        <v>0.4</v>
      </c>
      <c r="B10" s="4">
        <v>0.40200000000000002</v>
      </c>
      <c r="C10" s="15">
        <f t="shared" si="0"/>
        <v>0.40100000000000002</v>
      </c>
      <c r="D10" s="26">
        <f t="shared" si="1"/>
        <v>0.14750000000000002</v>
      </c>
      <c r="E10" s="5">
        <v>57</v>
      </c>
      <c r="F10" s="30">
        <f t="shared" si="2"/>
        <v>0.14750000000000002</v>
      </c>
      <c r="G10" s="30">
        <f t="shared" si="3"/>
        <v>2.1756250000000005E-2</v>
      </c>
      <c r="H10" s="1"/>
      <c r="I10" s="1"/>
      <c r="J10" s="1"/>
      <c r="K10" s="1"/>
      <c r="L10" s="1"/>
      <c r="N10" s="60" t="s">
        <v>16</v>
      </c>
      <c r="O10" s="60"/>
      <c r="P10" s="60"/>
      <c r="Q10" s="60"/>
      <c r="R10" s="60"/>
      <c r="S10" s="60"/>
      <c r="T10" s="60"/>
      <c r="U10" s="60"/>
      <c r="V10" s="60"/>
      <c r="W10" s="60"/>
    </row>
    <row r="11" spans="1:23" ht="16.5">
      <c r="A11" s="3">
        <v>0.46</v>
      </c>
      <c r="B11" s="4">
        <v>0.45600000000000002</v>
      </c>
      <c r="C11" s="15">
        <f t="shared" si="0"/>
        <v>0.45800000000000002</v>
      </c>
      <c r="D11" s="26">
        <f t="shared" si="1"/>
        <v>0.20450000000000002</v>
      </c>
      <c r="E11" s="5">
        <v>97</v>
      </c>
      <c r="F11" s="30">
        <f t="shared" si="2"/>
        <v>0.20450000000000002</v>
      </c>
      <c r="G11" s="30">
        <f t="shared" si="3"/>
        <v>4.1820250000000003E-2</v>
      </c>
      <c r="H11" s="1"/>
      <c r="I11" s="1"/>
      <c r="J11" s="1"/>
      <c r="K11" s="1"/>
      <c r="L11" s="1"/>
      <c r="N11" s="60" t="s">
        <v>17</v>
      </c>
      <c r="O11" s="60"/>
      <c r="P11" s="60"/>
      <c r="Q11" s="60"/>
      <c r="R11" s="60"/>
      <c r="S11" s="60"/>
      <c r="T11" s="60"/>
      <c r="U11" s="60"/>
      <c r="V11" s="60"/>
      <c r="W11" s="60"/>
    </row>
    <row r="12" spans="1:23" ht="15">
      <c r="A12" s="3">
        <v>0.51600000000000001</v>
      </c>
      <c r="B12" s="4">
        <v>0.50900000000000001</v>
      </c>
      <c r="C12" s="15">
        <f t="shared" si="0"/>
        <v>0.51249999999999996</v>
      </c>
      <c r="D12" s="26">
        <f t="shared" si="1"/>
        <v>0.25899999999999995</v>
      </c>
      <c r="E12" s="5">
        <v>150</v>
      </c>
      <c r="F12" s="30">
        <f t="shared" si="2"/>
        <v>0.25899999999999995</v>
      </c>
      <c r="G12" s="30">
        <f t="shared" si="3"/>
        <v>6.7080999999999974E-2</v>
      </c>
      <c r="H12" s="1"/>
      <c r="I12" s="1"/>
      <c r="J12" s="1"/>
      <c r="K12" s="1"/>
      <c r="L12" s="1"/>
      <c r="N12" s="60" t="s">
        <v>18</v>
      </c>
      <c r="O12" s="60"/>
      <c r="P12" s="60"/>
      <c r="Q12" s="60"/>
      <c r="R12" s="60"/>
      <c r="S12" s="60"/>
      <c r="T12" s="60"/>
      <c r="U12" s="60"/>
      <c r="V12" s="60"/>
      <c r="W12" s="60"/>
    </row>
    <row r="13" spans="1:23" ht="15">
      <c r="A13" s="3">
        <v>0.56100000000000005</v>
      </c>
      <c r="B13" s="4">
        <v>0.56299999999999994</v>
      </c>
      <c r="C13" s="15">
        <f t="shared" si="0"/>
        <v>0.56200000000000006</v>
      </c>
      <c r="D13" s="26">
        <f t="shared" si="1"/>
        <v>0.30850000000000005</v>
      </c>
      <c r="E13" s="5">
        <v>200</v>
      </c>
      <c r="F13" s="30">
        <f t="shared" si="2"/>
        <v>0.30850000000000005</v>
      </c>
      <c r="G13" s="30">
        <f t="shared" si="3"/>
        <v>9.5172250000000028E-2</v>
      </c>
      <c r="H13" s="1"/>
      <c r="I13" s="1"/>
      <c r="J13" s="1"/>
      <c r="K13" s="1"/>
      <c r="L13" s="1"/>
      <c r="N13" s="60" t="s">
        <v>19</v>
      </c>
      <c r="O13" s="60"/>
      <c r="P13" s="60"/>
      <c r="Q13" s="60"/>
      <c r="R13" s="60"/>
      <c r="S13" s="60"/>
      <c r="T13" s="60"/>
      <c r="U13" s="60"/>
      <c r="V13" s="60"/>
      <c r="W13" s="60"/>
    </row>
    <row r="14" spans="1:23" ht="15">
      <c r="A14" s="49" t="s">
        <v>20</v>
      </c>
      <c r="B14" s="49"/>
      <c r="C14" s="49"/>
      <c r="D14" s="49"/>
      <c r="E14" s="49"/>
      <c r="F14" s="1"/>
      <c r="G14" s="1"/>
      <c r="H14" s="1"/>
      <c r="I14" s="1"/>
      <c r="J14" s="1"/>
      <c r="K14" s="1"/>
      <c r="L14" s="1"/>
    </row>
    <row r="15" spans="1:23" ht="15">
      <c r="A15" s="49"/>
      <c r="B15" s="49"/>
      <c r="C15" s="49"/>
      <c r="D15" s="49"/>
      <c r="E15" s="49"/>
      <c r="F15" s="1"/>
      <c r="G15" s="1"/>
      <c r="H15" s="1"/>
      <c r="I15" s="1"/>
      <c r="J15" s="1"/>
      <c r="K15" s="1"/>
      <c r="L15" s="1"/>
    </row>
    <row r="16" spans="1:23" ht="15">
      <c r="A16" s="49"/>
      <c r="B16" s="49"/>
      <c r="C16" s="49"/>
      <c r="D16" s="49"/>
      <c r="E16" s="49"/>
      <c r="F16" s="1"/>
      <c r="G16" s="1"/>
      <c r="H16" s="1"/>
      <c r="I16" s="1"/>
      <c r="J16" s="1"/>
      <c r="K16" s="1"/>
      <c r="L16" s="1"/>
    </row>
    <row r="17" spans="1:12" ht="15">
      <c r="A17" s="49"/>
      <c r="B17" s="49"/>
      <c r="C17" s="49"/>
      <c r="D17" s="49"/>
      <c r="E17" s="49"/>
      <c r="F17" s="1"/>
      <c r="G17" s="1"/>
      <c r="H17" s="1"/>
      <c r="I17" s="1"/>
      <c r="J17" s="1"/>
      <c r="K17" s="1"/>
      <c r="L17" s="1"/>
    </row>
    <row r="18" spans="1:12" ht="15">
      <c r="A18" s="22" t="s">
        <v>21</v>
      </c>
      <c r="B18" s="22">
        <f>INDEX(LINEST(E8:E13,F8:G13),1,1)</f>
        <v>1599.3709786135234</v>
      </c>
      <c r="C18" s="23" t="s">
        <v>22</v>
      </c>
      <c r="D18" s="23">
        <f>INDEX(LINEST(E8:E13,F8:G13),1,2)</f>
        <v>153.69601886558701</v>
      </c>
      <c r="E18" s="24" t="s">
        <v>23</v>
      </c>
      <c r="F18" s="25">
        <f>INDEX(LINEST(E8:E13,F8:G13),1,3)</f>
        <v>0.81189091191463092</v>
      </c>
      <c r="G18" s="1"/>
      <c r="H18" s="1"/>
      <c r="I18" s="1"/>
      <c r="J18" s="1"/>
      <c r="K18" s="1"/>
      <c r="L18" s="1"/>
    </row>
    <row r="19" spans="1:12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30">
      <c r="A20" s="6"/>
      <c r="B20" s="7"/>
      <c r="C20" s="50" t="s">
        <v>7</v>
      </c>
      <c r="D20" s="50"/>
      <c r="E20" s="50"/>
      <c r="F20" s="8" t="s">
        <v>8</v>
      </c>
      <c r="G20" s="9" t="s">
        <v>24</v>
      </c>
      <c r="H20" s="9" t="s">
        <v>25</v>
      </c>
      <c r="I20" s="28" t="s">
        <v>26</v>
      </c>
      <c r="J20" s="50" t="s">
        <v>27</v>
      </c>
      <c r="K20" s="50"/>
      <c r="L20" s="29"/>
    </row>
    <row r="21" spans="1:12" ht="15">
      <c r="A21" s="42" t="s">
        <v>28</v>
      </c>
      <c r="B21" s="10" t="s">
        <v>29</v>
      </c>
      <c r="C21" s="11">
        <v>0.247</v>
      </c>
      <c r="D21" s="11">
        <v>0.252</v>
      </c>
      <c r="E21" s="11">
        <v>0.249</v>
      </c>
      <c r="F21" s="12">
        <f>AVERAGE(C21:E21)</f>
        <v>0.24933333333333332</v>
      </c>
      <c r="G21" s="43">
        <f>F21-F22</f>
        <v>1.4000000000000012E-2</v>
      </c>
      <c r="H21" s="44">
        <v>1</v>
      </c>
      <c r="I21" s="45"/>
      <c r="J21" s="47">
        <f>(B18*G21*G21+D18*G21+F18)*0.482*H21</f>
        <v>1.5795679299394112</v>
      </c>
      <c r="K21" s="47"/>
      <c r="L21" s="31"/>
    </row>
    <row r="22" spans="1:12" ht="15.75" thickBot="1">
      <c r="A22" s="42"/>
      <c r="B22" s="13" t="s">
        <v>30</v>
      </c>
      <c r="C22" s="14">
        <v>0.23300000000000001</v>
      </c>
      <c r="D22" s="14">
        <v>0.23499999999999999</v>
      </c>
      <c r="E22" s="14">
        <v>0.23799999999999999</v>
      </c>
      <c r="F22" s="15">
        <f>AVERAGE(C22:E22)</f>
        <v>0.23533333333333331</v>
      </c>
      <c r="G22" s="43"/>
      <c r="H22" s="44"/>
      <c r="I22" s="46"/>
      <c r="J22" s="48"/>
      <c r="K22" s="48"/>
      <c r="L22" s="27"/>
    </row>
    <row r="23" spans="1:12" ht="15">
      <c r="A23" s="42" t="s">
        <v>31</v>
      </c>
      <c r="B23" s="10" t="s">
        <v>29</v>
      </c>
      <c r="C23" s="16">
        <v>0.38</v>
      </c>
      <c r="D23" s="16">
        <v>0.38300000000000001</v>
      </c>
      <c r="E23" s="16">
        <v>0.38100000000000001</v>
      </c>
      <c r="F23" s="17">
        <f>AVERAGE(C23:E23)</f>
        <v>0.38133333333333336</v>
      </c>
      <c r="G23" s="43">
        <f>F23-F24</f>
        <v>0.10933333333333334</v>
      </c>
      <c r="H23" s="51">
        <v>20</v>
      </c>
      <c r="I23" s="53">
        <v>13.302</v>
      </c>
      <c r="J23" s="55">
        <f>(B18*G23*G23+D18*G23+F18)*0.482*H23/I23</f>
        <v>26.621614587722657</v>
      </c>
      <c r="K23" s="56"/>
      <c r="L23" s="27"/>
    </row>
    <row r="24" spans="1:12" ht="15">
      <c r="A24" s="42"/>
      <c r="B24" s="18" t="s">
        <v>30</v>
      </c>
      <c r="C24" s="19">
        <v>0.27300000000000002</v>
      </c>
      <c r="D24" s="19">
        <v>0.27200000000000002</v>
      </c>
      <c r="E24" s="19">
        <v>0.27100000000000002</v>
      </c>
      <c r="F24" s="20">
        <f>AVERAGE(C24:E24)</f>
        <v>0.27200000000000002</v>
      </c>
      <c r="G24" s="43"/>
      <c r="H24" s="52"/>
      <c r="I24" s="54"/>
      <c r="J24" s="57"/>
      <c r="K24" s="58"/>
      <c r="L24" s="27"/>
    </row>
  </sheetData>
  <mergeCells count="28">
    <mergeCell ref="N12:W12"/>
    <mergeCell ref="N13:W13"/>
    <mergeCell ref="A1:K3"/>
    <mergeCell ref="A5:E6"/>
    <mergeCell ref="N6:W6"/>
    <mergeCell ref="N7:W7"/>
    <mergeCell ref="N8:W8"/>
    <mergeCell ref="N9:W9"/>
    <mergeCell ref="N10:W10"/>
    <mergeCell ref="N11:W11"/>
    <mergeCell ref="N2:W2"/>
    <mergeCell ref="N3:W3"/>
    <mergeCell ref="N4:W4"/>
    <mergeCell ref="N5:W5"/>
    <mergeCell ref="A7:B7"/>
    <mergeCell ref="A14:E17"/>
    <mergeCell ref="C20:E20"/>
    <mergeCell ref="J20:K20"/>
    <mergeCell ref="A21:A22"/>
    <mergeCell ref="G21:G22"/>
    <mergeCell ref="H21:H22"/>
    <mergeCell ref="I21:I22"/>
    <mergeCell ref="J21:K22"/>
    <mergeCell ref="A23:A24"/>
    <mergeCell ref="G23:G24"/>
    <mergeCell ref="H23:H24"/>
    <mergeCell ref="I23:I24"/>
    <mergeCell ref="J23:K24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C294555603E4DA293C2389DA9DDAF" ma:contentTypeVersion="5" ma:contentTypeDescription="Create a new document." ma:contentTypeScope="" ma:versionID="e5883d9f1e6e8bf947ce30b92f867144">
  <xsd:schema xmlns:xsd="http://www.w3.org/2001/XMLSchema" xmlns:xs="http://www.w3.org/2001/XMLSchema" xmlns:p="http://schemas.microsoft.com/office/2006/metadata/properties" xmlns:ns2="ce576e1c-9a92-4a0e-8446-d89470922fce" xmlns:ns3="cbf2210f-1759-4589-8834-8c588a8e1d04" targetNamespace="http://schemas.microsoft.com/office/2006/metadata/properties" ma:root="true" ma:fieldsID="f6261bc3a1912fe8e9a80feed6763208" ns2:_="" ns3:_="">
    <xsd:import namespace="ce576e1c-9a92-4a0e-8446-d89470922fce"/>
    <xsd:import namespace="cbf2210f-1759-4589-8834-8c588a8e1d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76e1c-9a92-4a0e-8446-d89470922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2210f-1759-4589-8834-8c588a8e1d0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DCE0B3-F09D-4C75-AF6B-54F87D353B32}"/>
</file>

<file path=customXml/itemProps2.xml><?xml version="1.0" encoding="utf-8"?>
<ds:datastoreItem xmlns:ds="http://schemas.openxmlformats.org/officeDocument/2006/customXml" ds:itemID="{DD60DF38-393F-4F4A-9872-236B7FAA51ED}"/>
</file>

<file path=customXml/itemProps3.xml><?xml version="1.0" encoding="utf-8"?>
<ds:datastoreItem xmlns:ds="http://schemas.openxmlformats.org/officeDocument/2006/customXml" ds:itemID="{61E2AD84-BCA8-4933-830C-7FA923E4E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Hemm, Aleksandra</cp:lastModifiedBy>
  <cp:revision/>
  <dcterms:created xsi:type="dcterms:W3CDTF">2006-09-16T00:00:00Z</dcterms:created>
  <dcterms:modified xsi:type="dcterms:W3CDTF">2023-08-21T12:34:09Z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0x0101009EBC294555603E4DA293C2389DA9DDAF</vt:lpwstr>
  </property>
</Properties>
</file>